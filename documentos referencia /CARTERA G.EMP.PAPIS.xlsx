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06"/>
  <workbookPr hidePivotFieldList="1" defaultThemeVersion="202300"/>
  <mc:AlternateContent xmlns:mc="http://schemas.openxmlformats.org/markup-compatibility/2006">
    <mc:Choice Requires="x15">
      <x15ac:absPath xmlns:x15ac="http://schemas.microsoft.com/office/spreadsheetml/2010/11/ac" url="C:\Users\USER\Documents\equipo Anterior\Desktop\GALCOMEX\CLIENTES LUIS MARTINEZ\CARTERA\"/>
    </mc:Choice>
  </mc:AlternateContent>
  <xr:revisionPtr revIDLastSave="0" documentId="13_ncr:1_{2A2897B9-E593-4461-ADD7-ACF40DE39803}" xr6:coauthVersionLast="47" xr6:coauthVersionMax="47" xr10:uidLastSave="{00000000-0000-0000-0000-000000000000}"/>
  <bookViews>
    <workbookView xWindow="-108" yWindow="-108" windowWidth="23256" windowHeight="13896" xr2:uid="{B010438D-08EA-412F-8C28-74674EFD817D}"/>
  </bookViews>
  <sheets>
    <sheet name="G.EMP.PAPIS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F55" i="1" l="1"/>
  <c r="G55" i="1" s="1"/>
  <c r="F54" i="1" l="1"/>
  <c r="G54" i="1" s="1"/>
  <c r="F53" i="1"/>
  <c r="G53" i="1" s="1"/>
  <c r="F52" i="1"/>
  <c r="G52" i="1" s="1"/>
  <c r="F51" i="1"/>
  <c r="G51" i="1" s="1"/>
  <c r="F50" i="1"/>
  <c r="G50" i="1" s="1"/>
  <c r="F49" i="1"/>
  <c r="G49" i="1" s="1"/>
  <c r="F48" i="1"/>
  <c r="G48" i="1" s="1"/>
  <c r="F47" i="1"/>
  <c r="G47" i="1" s="1"/>
  <c r="F46" i="1"/>
  <c r="G46" i="1" s="1"/>
  <c r="F45" i="1"/>
  <c r="G45" i="1" s="1"/>
  <c r="F44" i="1"/>
  <c r="G44" i="1" s="1"/>
  <c r="F43" i="1"/>
  <c r="G43" i="1" s="1"/>
  <c r="F42" i="1"/>
  <c r="G42" i="1" s="1"/>
  <c r="F41" i="1"/>
  <c r="G41" i="1" s="1"/>
  <c r="F40" i="1"/>
  <c r="G40" i="1" s="1"/>
  <c r="F39" i="1"/>
  <c r="G39" i="1" s="1"/>
  <c r="F38" i="1"/>
  <c r="G38" i="1" s="1"/>
  <c r="F37" i="1"/>
  <c r="G37" i="1" s="1"/>
  <c r="F36" i="1"/>
  <c r="G36" i="1" s="1"/>
  <c r="F35" i="1"/>
  <c r="G35" i="1" s="1"/>
  <c r="F34" i="1"/>
  <c r="G34" i="1" s="1"/>
  <c r="F33" i="1"/>
  <c r="G33" i="1" s="1"/>
  <c r="F32" i="1"/>
  <c r="G32" i="1" s="1"/>
  <c r="F31" i="1"/>
  <c r="G31" i="1" s="1"/>
  <c r="F30" i="1"/>
  <c r="G30" i="1" s="1"/>
  <c r="F29" i="1"/>
  <c r="G29" i="1" s="1"/>
  <c r="F28" i="1"/>
  <c r="G28" i="1" s="1"/>
  <c r="F27" i="1"/>
  <c r="G27" i="1" s="1"/>
  <c r="F26" i="1"/>
  <c r="G26" i="1" s="1"/>
  <c r="F25" i="1"/>
  <c r="G25" i="1" s="1"/>
  <c r="F24" i="1"/>
  <c r="G24" i="1" s="1"/>
  <c r="F23" i="1"/>
  <c r="G23" i="1" s="1"/>
  <c r="F22" i="1"/>
  <c r="G22" i="1" s="1"/>
  <c r="F21" i="1"/>
  <c r="G21" i="1" s="1"/>
  <c r="F20" i="1"/>
  <c r="G20" i="1" s="1"/>
  <c r="F19" i="1"/>
  <c r="G19" i="1" s="1"/>
  <c r="F18" i="1"/>
  <c r="G18" i="1" s="1"/>
  <c r="F17" i="1"/>
  <c r="G17" i="1" s="1"/>
  <c r="F16" i="1"/>
  <c r="G16" i="1" s="1"/>
  <c r="F15" i="1"/>
  <c r="G15" i="1" s="1"/>
  <c r="F6" i="1"/>
  <c r="G6" i="1" s="1"/>
  <c r="F7" i="1"/>
  <c r="G7" i="1" s="1"/>
  <c r="F8" i="1"/>
  <c r="G8" i="1" s="1"/>
  <c r="F9" i="1"/>
  <c r="G9" i="1" s="1"/>
  <c r="F10" i="1"/>
  <c r="G10" i="1" s="1"/>
  <c r="F11" i="1"/>
  <c r="G11" i="1" s="1"/>
  <c r="F12" i="1"/>
  <c r="G12" i="1" s="1"/>
  <c r="F13" i="1"/>
  <c r="G13" i="1" s="1"/>
  <c r="F14" i="1"/>
  <c r="G14" i="1" s="1"/>
  <c r="E2" i="1" l="1"/>
  <c r="E1" i="1"/>
  <c r="E3" i="1" s="1"/>
  <c r="D3" i="1" l="1"/>
</calcChain>
</file>

<file path=xl/sharedStrings.xml><?xml version="1.0" encoding="utf-8"?>
<sst xmlns="http://schemas.openxmlformats.org/spreadsheetml/2006/main" count="94" uniqueCount="94">
  <si>
    <t>CARTERA</t>
  </si>
  <si>
    <t>A FAVOR</t>
  </si>
  <si>
    <t>A CARGO</t>
  </si>
  <si>
    <t>DO</t>
  </si>
  <si>
    <t>FACTURA</t>
  </si>
  <si>
    <t>FECHA</t>
  </si>
  <si>
    <t>TOTAL</t>
  </si>
  <si>
    <t>ANTICIPO</t>
  </si>
  <si>
    <t>SALDO</t>
  </si>
  <si>
    <t>FECHA DE PAGO</t>
  </si>
  <si>
    <t>A FAVOR / A CARGO</t>
  </si>
  <si>
    <t>G.EMP.PAPIS</t>
  </si>
  <si>
    <t>BAQ-17884</t>
  </si>
  <si>
    <t>BAQ-17901</t>
  </si>
  <si>
    <t>BAQ-17938</t>
  </si>
  <si>
    <t>BAQ-17939</t>
  </si>
  <si>
    <t>BAQ-17962</t>
  </si>
  <si>
    <t>BAQ-18007</t>
  </si>
  <si>
    <t>BAQ-18008</t>
  </si>
  <si>
    <t>BAQ-18009</t>
  </si>
  <si>
    <t>BAQ-18033</t>
  </si>
  <si>
    <t>BAQ-18058</t>
  </si>
  <si>
    <t>BAQ-18038</t>
  </si>
  <si>
    <t>BAQ-18072</t>
  </si>
  <si>
    <t>BAQ-18079</t>
  </si>
  <si>
    <t>BAQ-18134</t>
  </si>
  <si>
    <t>BAQ-18135</t>
  </si>
  <si>
    <t>BAQ-18136</t>
  </si>
  <si>
    <t>BAQ-18137</t>
  </si>
  <si>
    <t>BAQ-18141</t>
  </si>
  <si>
    <t>BAQ-18152</t>
  </si>
  <si>
    <t>BAQ-18153</t>
  </si>
  <si>
    <t>BAQ-18154</t>
  </si>
  <si>
    <t>BAQ-18155</t>
  </si>
  <si>
    <t>BAQ-18180</t>
  </si>
  <si>
    <t>BAQ-18176</t>
  </si>
  <si>
    <t>BAQ-18181</t>
  </si>
  <si>
    <t>BAQ-18184</t>
  </si>
  <si>
    <t>BAQ-18185</t>
  </si>
  <si>
    <t>BAQ-18186</t>
  </si>
  <si>
    <t>BAQ-18187</t>
  </si>
  <si>
    <t>BAQ-18213</t>
  </si>
  <si>
    <t>DO.CTG25-0159</t>
  </si>
  <si>
    <t>DO.CTG25-0169</t>
  </si>
  <si>
    <t>DO.CTG25-0178</t>
  </si>
  <si>
    <t>DO.CTG25-0179</t>
  </si>
  <si>
    <t>DO.CTG25-0191</t>
  </si>
  <si>
    <t>DO.CTG25-0208</t>
  </si>
  <si>
    <t>DO.CTG25-0209</t>
  </si>
  <si>
    <t>DO.CTG25-0210</t>
  </si>
  <si>
    <t>DO.CTG25-0225</t>
  </si>
  <si>
    <t>DO.CTG25-0241</t>
  </si>
  <si>
    <t>DO.CTG25-0235</t>
  </si>
  <si>
    <t>DO.CTG25-0249</t>
  </si>
  <si>
    <t>DO.CTG25-0261</t>
  </si>
  <si>
    <t>DO.CTG25-0263</t>
  </si>
  <si>
    <t>DO.CTG25-0264</t>
  </si>
  <si>
    <t>DO.CTG25-0268</t>
  </si>
  <si>
    <t>DO.CTG25-0270</t>
  </si>
  <si>
    <t>DO.CTG25-0271</t>
  </si>
  <si>
    <t>DO.CTG25-0277</t>
  </si>
  <si>
    <t>DO.CTG25-0278</t>
  </si>
  <si>
    <t>DO.CTG25-0280</t>
  </si>
  <si>
    <t>DO.CTG25-0283</t>
  </si>
  <si>
    <t>DO.CTG25-0289</t>
  </si>
  <si>
    <t>DO.CTG25-0294</t>
  </si>
  <si>
    <t>DO.CTG25-0295</t>
  </si>
  <si>
    <t>DO.CTG25-0302</t>
  </si>
  <si>
    <t>DO.CTG25-0305</t>
  </si>
  <si>
    <t>DO.CTG25-0307</t>
  </si>
  <si>
    <t>DO.CTG25-0308</t>
  </si>
  <si>
    <t>DO.CTG25-0313</t>
  </si>
  <si>
    <t>BAQ-18288</t>
  </si>
  <si>
    <t>BAQ-18322</t>
  </si>
  <si>
    <t>BAQ-18286</t>
  </si>
  <si>
    <t>BAQ-18287</t>
  </si>
  <si>
    <t>BAQ-18358</t>
  </si>
  <si>
    <t>BAQ-18359</t>
  </si>
  <si>
    <t>BAQ-18377</t>
  </si>
  <si>
    <t>BAQ-18378</t>
  </si>
  <si>
    <t>BAQ-18413</t>
  </si>
  <si>
    <t>BAQ-18415</t>
  </si>
  <si>
    <t xml:space="preserve">BAQ-18414 </t>
  </si>
  <si>
    <t>DO.BUN26-0026</t>
  </si>
  <si>
    <t>DO.CTG26-0028</t>
  </si>
  <si>
    <t>DO.CTG26-0032</t>
  </si>
  <si>
    <t>DO.CTG26-0033</t>
  </si>
  <si>
    <t>DO.CTG26-0063</t>
  </si>
  <si>
    <t>DO.CTG26-0070</t>
  </si>
  <si>
    <t>DO.CTG26-0078</t>
  </si>
  <si>
    <t>DO.CTG26-0079</t>
  </si>
  <si>
    <t>DO.CTG26-0090</t>
  </si>
  <si>
    <t>DO.CTG26-0098</t>
  </si>
  <si>
    <t>DO.CTG26-0099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</si>
</sst>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7" formatCode="&quot;$&quot;\ #,##0.00;\-&quot;$&quot;\ #,##0.00"/>
    <numFmt numFmtId="44" formatCode="_-&quot;$&quot;\ * #,##0.00_-;\-&quot;$&quot;\ * #,##0.00_-;_-&quot;$&quot;\ * &quot;-&quot;??_-;_-@_-"/>
    <numFmt numFmtId="164" formatCode="dd/mm/yyyy"/>
  </numFmts>
  <fonts count="11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30"/>
      <color theme="1"/>
      <name val="Aptos Narrow"/>
      <family val="2"/>
      <scheme val="minor"/>
    </font>
    <font>
      <b/>
      <sz val="15"/>
      <color theme="1"/>
      <name val="Aptos Narrow"/>
      <family val="2"/>
      <scheme val="minor"/>
    </font>
    <font>
      <sz val="15"/>
      <color theme="1"/>
      <name val="Aptos Narrow"/>
      <family val="2"/>
      <scheme val="minor"/>
    </font>
    <font>
      <sz val="8"/>
      <name val="Aptos Narrow"/>
      <family val="2"/>
      <scheme val="minor"/>
    </font>
    <font>
      <sz val="13"/>
      <color theme="1"/>
      <name val="Aptos Narrow"/>
      <family val="2"/>
      <scheme val="minor"/>
    </font>
    <font>
      <b/>
      <sz val="13"/>
      <color theme="1"/>
      <name val="Aptos Narrow"/>
      <family val="2"/>
      <scheme val="minor"/>
    </font>
    <font>
      <sz val="13"/>
      <color rgb="FF000000"/>
      <name val="Aptos Narrow"/>
      <family val="2"/>
      <scheme val="minor"/>
    </font>
    <font>
      <sz val="13"/>
      <color rgb="FF000000"/>
      <name val="Calibri"/>
      <family val="2"/>
    </font>
    <font>
      <sz val="13"/>
      <color theme="1"/>
      <name val="Aptos Narrow"/>
      <family val="2"/>
    </font>
  </fonts>
  <fills count="2">
    <fill>
      <patternFill patternType="none"/>
    </fill>
    <fill>
      <patternFill patternType="gray125"/>
    </fill>
  </fills>
  <borders count="9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1">
    <xf numFmtId="0" fontId="0" fillId="0" borderId="0" xfId="0"/>
    <xf numFmtId="0" fontId="3" fillId="0" borderId="1" xfId="0" applyFont="1" applyBorder="1" applyAlignment="1">
      <alignment horizontal="center"/>
    </xf>
    <xf numFmtId="44" fontId="3" fillId="0" borderId="1" xfId="1" applyFont="1" applyBorder="1" applyAlignment="1">
      <alignment horizontal="center"/>
    </xf>
    <xf numFmtId="0" fontId="4" fillId="0" borderId="0" xfId="0" applyFont="1"/>
    <xf numFmtId="0" fontId="4" fillId="0" borderId="1" xfId="0" applyFont="1" applyBorder="1" applyAlignment="1">
      <alignment horizontal="center"/>
    </xf>
    <xf numFmtId="44" fontId="6" fillId="0" borderId="0" xfId="1" applyFont="1" applyBorder="1" applyAlignment="1">
      <alignment horizontal="center"/>
    </xf>
    <xf numFmtId="0" fontId="6" fillId="0" borderId="0" xfId="0" applyFont="1" applyAlignment="1">
      <alignment horizontal="center"/>
    </xf>
    <xf numFmtId="44" fontId="6" fillId="0" borderId="0" xfId="0" applyNumberFormat="1" applyFont="1" applyAlignment="1">
      <alignment horizontal="center"/>
    </xf>
    <xf numFmtId="49" fontId="8" fillId="0" borderId="0" xfId="0" applyNumberFormat="1" applyFont="1" applyAlignment="1">
      <alignment horizontal="center" vertical="center"/>
    </xf>
    <xf numFmtId="14" fontId="9" fillId="0" borderId="0" xfId="0" applyNumberFormat="1" applyFont="1" applyAlignment="1">
      <alignment horizontal="center" vertical="center"/>
    </xf>
    <xf numFmtId="14" fontId="6" fillId="0" borderId="0" xfId="0" applyNumberFormat="1" applyFont="1" applyAlignment="1">
      <alignment horizontal="center"/>
    </xf>
    <xf numFmtId="164" fontId="9" fillId="0" borderId="0" xfId="0" applyNumberFormat="1" applyFont="1" applyAlignment="1">
      <alignment horizontal="center" vertical="center"/>
    </xf>
    <xf numFmtId="0" fontId="7" fillId="0" borderId="0" xfId="0" applyFont="1" applyAlignment="1">
      <alignment horizontal="center"/>
    </xf>
    <xf numFmtId="0" fontId="2" fillId="0" borderId="0" xfId="0" applyFont="1" applyAlignment="1">
      <alignment horizontal="center"/>
    </xf>
    <xf numFmtId="44" fontId="6" fillId="0" borderId="4" xfId="1" applyFont="1" applyBorder="1" applyAlignment="1">
      <alignment horizontal="center"/>
    </xf>
    <xf numFmtId="44" fontId="6" fillId="0" borderId="5" xfId="1" applyFont="1" applyBorder="1" applyAlignment="1">
      <alignment horizontal="center"/>
    </xf>
    <xf numFmtId="0" fontId="2" fillId="0" borderId="0" xfId="0" applyFont="1" applyAlignment="1">
      <alignment horizontal="left"/>
    </xf>
    <xf numFmtId="44" fontId="6" fillId="0" borderId="0" xfId="1" applyFont="1" applyAlignment="1">
      <alignment horizontal="center"/>
    </xf>
    <xf numFmtId="0" fontId="3" fillId="0" borderId="2" xfId="1" applyNumberFormat="1" applyFont="1" applyBorder="1" applyAlignment="1">
      <alignment horizontal="center" vertical="center"/>
    </xf>
    <xf numFmtId="0" fontId="4" fillId="0" borderId="6" xfId="1" applyNumberFormat="1" applyFont="1" applyBorder="1" applyAlignment="1">
      <alignment horizontal="center" vertical="center"/>
    </xf>
    <xf numFmtId="0" fontId="4" fillId="0" borderId="7" xfId="1" applyNumberFormat="1" applyFont="1" applyBorder="1" applyAlignment="1">
      <alignment horizontal="center" vertical="center"/>
    </xf>
    <xf numFmtId="44" fontId="6" fillId="0" borderId="3" xfId="1" applyFont="1" applyBorder="1" applyAlignment="1">
      <alignment horizontal="center"/>
    </xf>
    <xf numFmtId="44" fontId="4" fillId="0" borderId="1" xfId="1" applyFont="1" applyBorder="1" applyAlignment="1">
      <alignment horizontal="center"/>
    </xf>
    <xf numFmtId="14" fontId="3" fillId="0" borderId="1" xfId="0" applyNumberFormat="1" applyFont="1" applyBorder="1" applyAlignment="1">
      <alignment horizontal="center"/>
    </xf>
    <xf numFmtId="14" fontId="6" fillId="0" borderId="0" xfId="0" applyNumberFormat="1" applyFont="1" applyAlignment="1">
      <alignment horizontal="center" vertical="center"/>
    </xf>
    <xf numFmtId="0" fontId="10" fillId="0" borderId="8" xfId="0" applyFont="1" applyBorder="1" applyAlignment="1">
      <alignment horizontal="center"/>
    </xf>
    <xf numFmtId="0" fontId="10" fillId="0" borderId="2" xfId="0" applyFont="1" applyBorder="1" applyAlignment="1">
      <alignment horizontal="center"/>
    </xf>
    <xf numFmtId="0" fontId="10" fillId="0" borderId="2" xfId="0" applyFont="1" applyBorder="1" applyAlignment="1">
      <alignment horizontal="center" vertical="center"/>
    </xf>
    <xf numFmtId="0" fontId="10" fillId="0" borderId="0" xfId="0" applyFont="1" applyAlignment="1">
      <alignment horizontal="center" vertical="center"/>
    </xf>
    <xf numFmtId="14" fontId="10" fillId="0" borderId="8" xfId="0" applyNumberFormat="1" applyFont="1" applyBorder="1" applyAlignment="1">
      <alignment horizontal="center"/>
    </xf>
    <xf numFmtId="7" fontId="10" fillId="0" borderId="8" xfId="0" applyNumberFormat="1" applyFont="1" applyBorder="1" applyAlignment="1">
      <alignment horizontal="center"/>
    </xf>
  </cellXfs>
  <cellStyles count="2">
    <cellStyle name="Moneda" xfId="1" builtinId="4"/>
    <cellStyle name="Normal" xfId="0" builtinId="0"/>
  </cellStyles>
  <dxfs count="15"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strike val="0"/>
        <outline val="0"/>
        <shadow val="0"/>
        <u val="none"/>
        <vertAlign val="baseline"/>
        <sz val="13"/>
        <color theme="1"/>
        <name val="Aptos Narrow"/>
        <family val="2"/>
        <scheme val="minor"/>
      </font>
      <numFmt numFmtId="19" formatCode="d/mm/yyyy"/>
      <alignment horizontal="center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3"/>
        <color theme="1"/>
        <name val="Aptos Narrow"/>
        <family val="2"/>
        <scheme val="minor"/>
      </font>
      <numFmt numFmtId="34" formatCode="_-&quot;$&quot;\ * #,##0.00_-;\-&quot;$&quot;\ * #,##0.00_-;_-&quot;$&quot;\ * &quot;-&quot;??_-;_-@_-"/>
      <alignment horizontal="center" vertical="bottom" textRotation="0" wrapText="0" indent="0" justifyLastLine="0" shrinkToFit="0" readingOrder="0"/>
    </dxf>
    <dxf>
      <font>
        <b val="0"/>
        <strike val="0"/>
        <outline val="0"/>
        <shadow val="0"/>
        <u val="none"/>
        <vertAlign val="baseline"/>
        <sz val="13"/>
        <color theme="1"/>
        <name val="Aptos Narrow"/>
        <family val="2"/>
        <scheme val="minor"/>
      </font>
      <numFmt numFmtId="34" formatCode="_-&quot;$&quot;\ * #,##0.00_-;\-&quot;$&quot;\ * #,##0.00_-;_-&quot;$&quot;\ * &quot;-&quot;??_-;_-@_-"/>
      <alignment horizontal="center" vertical="bottom" textRotation="0" wrapText="0" indent="0" justifyLastLine="0" shrinkToFit="0" readingOrder="0"/>
    </dxf>
    <dxf>
      <font>
        <b val="0"/>
        <strike val="0"/>
        <outline val="0"/>
        <shadow val="0"/>
        <u val="none"/>
        <vertAlign val="baseline"/>
        <sz val="13"/>
        <color theme="1"/>
        <name val="Aptos Narrow"/>
        <family val="2"/>
        <scheme val="minor"/>
      </font>
      <alignment horizontal="center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3"/>
        <color theme="1"/>
        <name val="Aptos Narrow"/>
        <family val="2"/>
        <scheme val="minor"/>
      </font>
      <alignment horizont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3"/>
        <color theme="1"/>
        <name val="Aptos Narrow"/>
        <family val="2"/>
        <scheme val="minor"/>
      </font>
      <numFmt numFmtId="19" formatCode="d/mm/yyyy"/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3"/>
        <color rgb="FF000000"/>
        <name val="Calibri"/>
        <family val="2"/>
        <scheme val="none"/>
      </font>
      <numFmt numFmtId="19" formatCode="d/mm/yyyy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3"/>
        <color rgb="FF000000"/>
        <name val="Aptos Narrow"/>
        <family val="2"/>
        <scheme val="minor"/>
      </font>
      <numFmt numFmtId="30" formatCode="@"/>
      <alignment horizontal="center" vertical="center" textRotation="0" wrapText="0" indent="0" justifyLastLine="0" shrinkToFit="0" readingOrder="0"/>
    </dxf>
    <dxf>
      <border outline="0"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Aptos Narrow"/>
        <family val="2"/>
        <scheme val="minor"/>
      </font>
      <alignment horizontal="center" vertical="bottom" textRotation="0" wrapText="0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58E2037F-C8BC-4416-BE32-70C5A904F055}" name="Tabla2" displayName="Tabla2" ref="A5:H55" totalsRowShown="0" headerRowDxfId="14" headerRowBorderDxfId="13" tableBorderDxfId="12">
  <autoFilter ref="A5:H55" xr:uid="{58E2037F-C8BC-4416-BE32-70C5A904F055}">
    <filterColumn colId="7">
      <filters blank="1"/>
    </filterColumn>
  </autoFilter>
  <tableColumns count="8">
    <tableColumn id="1" xr3:uid="{C8BA8074-AFD0-46E7-AB22-A844F2DE83D1}" name="FACTURA" dataDxfId="11"/>
    <tableColumn id="2" xr3:uid="{4C71BF50-F57F-43C5-8E3C-05BED4D9AF71}" name="DO" dataDxfId="10"/>
    <tableColumn id="4" xr3:uid="{46E3287A-FB97-440E-8E78-78BC06B070DE}" name="FECHA" dataDxfId="9"/>
    <tableColumn id="6" xr3:uid="{9E090DFF-E5D5-492A-A755-B5012D9691AC}" name="TOTAL" dataDxfId="8" dataCellStyle="Moneda"/>
    <tableColumn id="7" xr3:uid="{E266C2FD-D713-4629-8D6F-93D85DDDECFE}" name="ANTICIPO" dataDxfId="7" dataCellStyle="Moneda"/>
    <tableColumn id="8" xr3:uid="{34096132-2D80-4332-9735-67CBC1FA5493}" name="SALDO" dataDxfId="6">
      <calculatedColumnFormula>+Tabla2[[#This Row],[ANTICIPO]]-Tabla2[[#This Row],[TOTAL]]</calculatedColumnFormula>
    </tableColumn>
    <tableColumn id="9" xr3:uid="{96AD0312-B1B0-4D24-AA04-77CC06272863}" name="A FAVOR / A CARGO" dataDxfId="5">
      <calculatedColumnFormula>+IF(F6&gt;0,"SALDO A FAVOR","SALDO A CARGO")</calculatedColumnFormula>
    </tableColumn>
    <tableColumn id="10" xr3:uid="{9915061A-02B7-4604-A1FE-704522259755}" name="FECHA DE PAGO" dataDxfId="4">
      <calculatedColumnFormula>+#REF!</calculatedColumnFormula>
    </tableColumn>
  </tableColumns>
  <tableStyleInfo name="TableStyleMedium1" showFirstColumn="0" showLastColumn="0" showRowStripes="1" showColumnStripes="0"/>
</table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12365DF-38A5-4FE0-9CDF-182813DC50B8}">
  <dimension ref="A1:H75"/>
  <sheetViews>
    <sheetView tabSelected="1" zoomScale="96" workbookViewId="0">
      <pane xSplit="1" topLeftCell="B1" activePane="topRight" state="frozen"/>
      <selection pane="topRight" activeCell="C50" sqref="C50"/>
    </sheetView>
  </sheetViews>
  <sheetFormatPr baseColWidth="10" defaultRowHeight="17.399999999999999" x14ac:dyDescent="0.35"/>
  <cols>
    <col min="1" max="1" width="24.109375" style="6" customWidth="1"/>
    <col min="2" max="2" width="25.109375" style="6" customWidth="1"/>
    <col min="3" max="3" width="20.109375" style="6" customWidth="1"/>
    <col min="4" max="4" width="20.33203125" style="17" bestFit="1" customWidth="1"/>
    <col min="5" max="5" width="27.6640625" style="17" customWidth="1"/>
    <col min="6" max="6" width="22.5546875" style="6" bestFit="1" customWidth="1"/>
    <col min="7" max="7" width="30.88671875" style="6" customWidth="1"/>
    <col min="8" max="8" width="25.44140625" style="10" bestFit="1" customWidth="1"/>
  </cols>
  <sheetData>
    <row r="1" spans="1:8" ht="39" x14ac:dyDescent="0.75">
      <c r="A1" s="13" t="s">
        <v>0</v>
      </c>
      <c r="B1" s="16" t="s">
        <v>11</v>
      </c>
      <c r="D1" s="19" t="s">
        <v>1</v>
      </c>
      <c r="E1" s="14">
        <f>+SUMIFS(F6:F1072,G6:G1072,"SALDO A FAVOR",H6:H1072,"")</f>
        <v>19883107</v>
      </c>
      <c r="F1" s="5"/>
    </row>
    <row r="2" spans="1:8" ht="19.8" x14ac:dyDescent="0.35">
      <c r="A2" s="12"/>
      <c r="B2" s="12"/>
      <c r="D2" s="20" t="s">
        <v>2</v>
      </c>
      <c r="E2" s="15">
        <f>+SUMIFS(F6:F1072,G6:G1072,"SALDO A CARGO",H6:H1072,"")</f>
        <v>-6360610</v>
      </c>
      <c r="F2" s="5"/>
      <c r="G2" s="7"/>
    </row>
    <row r="3" spans="1:8" ht="19.8" x14ac:dyDescent="0.35">
      <c r="A3" s="12"/>
      <c r="B3" s="12"/>
      <c r="D3" s="18" t="str">
        <f>+IF(E3&lt;0,"SALDO A CARGO","SALDO A FAVOR")</f>
        <v>SALDO A FAVOR</v>
      </c>
      <c r="E3" s="21">
        <f>+E1+E2</f>
        <v>13522497</v>
      </c>
    </row>
    <row r="5" spans="1:8" s="3" customFormat="1" ht="19.8" x14ac:dyDescent="0.4">
      <c r="A5" s="1" t="s">
        <v>4</v>
      </c>
      <c r="B5" s="1" t="s">
        <v>3</v>
      </c>
      <c r="C5" s="1" t="s">
        <v>5</v>
      </c>
      <c r="D5" s="2" t="s">
        <v>6</v>
      </c>
      <c r="E5" s="22" t="s">
        <v>7</v>
      </c>
      <c r="F5" s="4" t="s">
        <v>8</v>
      </c>
      <c r="G5" s="2" t="s">
        <v>10</v>
      </c>
      <c r="H5" s="23" t="s">
        <v>9</v>
      </c>
    </row>
    <row r="6" spans="1:8" hidden="1" x14ac:dyDescent="0.35">
      <c r="A6" s="25" t="s">
        <v>12</v>
      </c>
      <c r="B6" s="27" t="s">
        <v>42</v>
      </c>
      <c r="C6" s="29">
        <v>45874</v>
      </c>
      <c r="D6" s="30">
        <v>32767579</v>
      </c>
      <c r="E6" s="30">
        <v>34018532</v>
      </c>
      <c r="F6" s="5">
        <f>+Tabla2[[#This Row],[ANTICIPO]]-Tabla2[[#This Row],[TOTAL]]</f>
        <v>1250953</v>
      </c>
      <c r="G6" s="5" t="str">
        <f t="shared" ref="G6:G14" si="0">+IF(F6&gt;0,"SALDO A FAVOR","SALDO A CARGO")</f>
        <v>SALDO A FAVOR</v>
      </c>
      <c r="H6" s="10">
        <v>45877</v>
      </c>
    </row>
    <row r="7" spans="1:8" hidden="1" x14ac:dyDescent="0.35">
      <c r="A7" s="25" t="s">
        <v>13</v>
      </c>
      <c r="B7" s="27" t="s">
        <v>43</v>
      </c>
      <c r="C7" s="29">
        <v>45889</v>
      </c>
      <c r="D7" s="30">
        <v>36581180</v>
      </c>
      <c r="E7" s="30">
        <v>39424000</v>
      </c>
      <c r="F7" s="7">
        <f>+Tabla2[[#This Row],[ANTICIPO]]-Tabla2[[#This Row],[TOTAL]]</f>
        <v>2842820</v>
      </c>
      <c r="G7" s="5" t="str">
        <f t="shared" si="0"/>
        <v>SALDO A FAVOR</v>
      </c>
      <c r="H7" s="10">
        <v>45902</v>
      </c>
    </row>
    <row r="8" spans="1:8" hidden="1" x14ac:dyDescent="0.35">
      <c r="A8" s="25" t="s">
        <v>14</v>
      </c>
      <c r="B8" s="27" t="s">
        <v>44</v>
      </c>
      <c r="C8" s="29">
        <v>45901</v>
      </c>
      <c r="D8" s="30">
        <v>33999682</v>
      </c>
      <c r="E8" s="30">
        <v>37804000</v>
      </c>
      <c r="F8" s="7">
        <f>+Tabla2[[#This Row],[ANTICIPO]]-Tabla2[[#This Row],[TOTAL]]</f>
        <v>3804318</v>
      </c>
      <c r="G8" s="7" t="str">
        <f t="shared" si="0"/>
        <v>SALDO A FAVOR</v>
      </c>
      <c r="H8" s="10">
        <v>45940</v>
      </c>
    </row>
    <row r="9" spans="1:8" hidden="1" x14ac:dyDescent="0.35">
      <c r="A9" s="25" t="s">
        <v>15</v>
      </c>
      <c r="B9" s="27" t="s">
        <v>45</v>
      </c>
      <c r="C9" s="29">
        <v>45901</v>
      </c>
      <c r="D9" s="30">
        <v>32500415</v>
      </c>
      <c r="E9" s="30">
        <v>37191000</v>
      </c>
      <c r="F9" s="7">
        <f>+Tabla2[[#This Row],[ANTICIPO]]-Tabla2[[#This Row],[TOTAL]]</f>
        <v>4690585</v>
      </c>
      <c r="G9" s="7" t="str">
        <f t="shared" si="0"/>
        <v>SALDO A FAVOR</v>
      </c>
      <c r="H9" s="10">
        <v>45940</v>
      </c>
    </row>
    <row r="10" spans="1:8" hidden="1" x14ac:dyDescent="0.35">
      <c r="A10" s="25" t="s">
        <v>16</v>
      </c>
      <c r="B10" s="27" t="s">
        <v>46</v>
      </c>
      <c r="C10" s="29">
        <v>45918</v>
      </c>
      <c r="D10" s="30">
        <v>65729635</v>
      </c>
      <c r="E10" s="30">
        <v>68607000</v>
      </c>
      <c r="F10" s="7">
        <f>+Tabla2[[#This Row],[ANTICIPO]]-Tabla2[[#This Row],[TOTAL]]</f>
        <v>2877365</v>
      </c>
      <c r="G10" s="7" t="str">
        <f t="shared" si="0"/>
        <v>SALDO A FAVOR</v>
      </c>
      <c r="H10" s="10">
        <v>45940</v>
      </c>
    </row>
    <row r="11" spans="1:8" hidden="1" x14ac:dyDescent="0.35">
      <c r="A11" s="25" t="s">
        <v>17</v>
      </c>
      <c r="B11" s="27" t="s">
        <v>47</v>
      </c>
      <c r="C11" s="29">
        <v>45933</v>
      </c>
      <c r="D11" s="30">
        <v>13474296</v>
      </c>
      <c r="E11" s="30">
        <v>15568024</v>
      </c>
      <c r="F11" s="7">
        <f>+Tabla2[[#This Row],[ANTICIPO]]-Tabla2[[#This Row],[TOTAL]]</f>
        <v>2093728</v>
      </c>
      <c r="G11" s="5" t="str">
        <f t="shared" si="0"/>
        <v>SALDO A FAVOR</v>
      </c>
      <c r="H11" s="10">
        <v>45940</v>
      </c>
    </row>
    <row r="12" spans="1:8" hidden="1" x14ac:dyDescent="0.35">
      <c r="A12" s="25" t="s">
        <v>18</v>
      </c>
      <c r="B12" s="27" t="s">
        <v>48</v>
      </c>
      <c r="C12" s="29">
        <v>45933</v>
      </c>
      <c r="D12" s="30">
        <v>13251712</v>
      </c>
      <c r="E12" s="30">
        <v>15568024</v>
      </c>
      <c r="F12" s="7">
        <f>+Tabla2[[#This Row],[ANTICIPO]]-Tabla2[[#This Row],[TOTAL]]</f>
        <v>2316312</v>
      </c>
      <c r="G12" s="5" t="str">
        <f t="shared" si="0"/>
        <v>SALDO A FAVOR</v>
      </c>
      <c r="H12" s="10">
        <v>45940</v>
      </c>
    </row>
    <row r="13" spans="1:8" hidden="1" x14ac:dyDescent="0.35">
      <c r="A13" s="25" t="s">
        <v>19</v>
      </c>
      <c r="B13" s="27" t="s">
        <v>49</v>
      </c>
      <c r="C13" s="29">
        <v>45933</v>
      </c>
      <c r="D13" s="30">
        <v>14500905</v>
      </c>
      <c r="E13" s="30">
        <v>15568024</v>
      </c>
      <c r="F13" s="7">
        <f>+Tabla2[[#This Row],[ANTICIPO]]-Tabla2[[#This Row],[TOTAL]]</f>
        <v>1067119</v>
      </c>
      <c r="G13" s="7" t="str">
        <f t="shared" si="0"/>
        <v>SALDO A FAVOR</v>
      </c>
      <c r="H13" s="10">
        <v>45940</v>
      </c>
    </row>
    <row r="14" spans="1:8" hidden="1" x14ac:dyDescent="0.35">
      <c r="A14" s="25" t="s">
        <v>20</v>
      </c>
      <c r="B14" s="27" t="s">
        <v>50</v>
      </c>
      <c r="C14" s="29">
        <v>45945</v>
      </c>
      <c r="D14" s="30">
        <v>14533148</v>
      </c>
      <c r="E14" s="30">
        <v>14715000</v>
      </c>
      <c r="F14" s="7">
        <f>+Tabla2[[#This Row],[ANTICIPO]]-Tabla2[[#This Row],[TOTAL]]</f>
        <v>181852</v>
      </c>
      <c r="G14" s="7" t="str">
        <f t="shared" si="0"/>
        <v>SALDO A FAVOR</v>
      </c>
      <c r="H14" s="10">
        <v>46052</v>
      </c>
    </row>
    <row r="15" spans="1:8" hidden="1" x14ac:dyDescent="0.35">
      <c r="A15" s="25" t="s">
        <v>21</v>
      </c>
      <c r="B15" s="27" t="s">
        <v>51</v>
      </c>
      <c r="C15" s="29">
        <v>45954</v>
      </c>
      <c r="D15" s="30">
        <v>28223346</v>
      </c>
      <c r="E15" s="30">
        <v>26689332</v>
      </c>
      <c r="F15" s="7">
        <f>+Tabla2[[#This Row],[ANTICIPO]]-Tabla2[[#This Row],[TOTAL]]</f>
        <v>-1534014</v>
      </c>
      <c r="G15" s="7" t="str">
        <f t="shared" ref="G15:G50" si="1">+IF(F15&gt;0,"SALDO A FAVOR","SALDO A CARGO")</f>
        <v>SALDO A CARGO</v>
      </c>
      <c r="H15" s="10">
        <v>46052</v>
      </c>
    </row>
    <row r="16" spans="1:8" hidden="1" x14ac:dyDescent="0.35">
      <c r="A16" s="25" t="s">
        <v>22</v>
      </c>
      <c r="B16" s="27" t="s">
        <v>52</v>
      </c>
      <c r="C16" s="29">
        <v>45945</v>
      </c>
      <c r="D16" s="30">
        <v>13805968</v>
      </c>
      <c r="E16" s="30">
        <v>15468000</v>
      </c>
      <c r="F16" s="7">
        <f>+Tabla2[[#This Row],[ANTICIPO]]-Tabla2[[#This Row],[TOTAL]]</f>
        <v>1662032</v>
      </c>
      <c r="G16" s="7" t="str">
        <f t="shared" si="1"/>
        <v>SALDO A FAVOR</v>
      </c>
      <c r="H16" s="10">
        <v>46052</v>
      </c>
    </row>
    <row r="17" spans="1:8" hidden="1" x14ac:dyDescent="0.35">
      <c r="A17" s="25" t="s">
        <v>23</v>
      </c>
      <c r="B17" s="27" t="s">
        <v>53</v>
      </c>
      <c r="C17" s="29">
        <v>45961</v>
      </c>
      <c r="D17" s="30">
        <v>15630775</v>
      </c>
      <c r="E17" s="30">
        <v>15008024</v>
      </c>
      <c r="F17" s="7">
        <f>+Tabla2[[#This Row],[ANTICIPO]]-Tabla2[[#This Row],[TOTAL]]</f>
        <v>-622751</v>
      </c>
      <c r="G17" s="7" t="str">
        <f t="shared" si="1"/>
        <v>SALDO A CARGO</v>
      </c>
      <c r="H17" s="10">
        <v>46052</v>
      </c>
    </row>
    <row r="18" spans="1:8" hidden="1" x14ac:dyDescent="0.35">
      <c r="A18" s="25" t="s">
        <v>24</v>
      </c>
      <c r="B18" s="27" t="s">
        <v>54</v>
      </c>
      <c r="C18" s="29">
        <v>45967</v>
      </c>
      <c r="D18" s="30">
        <v>8297523</v>
      </c>
      <c r="E18" s="30">
        <v>11461664</v>
      </c>
      <c r="F18" s="7">
        <f>+Tabla2[[#This Row],[ANTICIPO]]-Tabla2[[#This Row],[TOTAL]]</f>
        <v>3164141</v>
      </c>
      <c r="G18" s="7" t="str">
        <f t="shared" si="1"/>
        <v>SALDO A FAVOR</v>
      </c>
      <c r="H18" s="10">
        <v>46052</v>
      </c>
    </row>
    <row r="19" spans="1:8" hidden="1" x14ac:dyDescent="0.35">
      <c r="A19" s="25" t="s">
        <v>25</v>
      </c>
      <c r="B19" s="27" t="s">
        <v>55</v>
      </c>
      <c r="C19" s="29">
        <v>45986</v>
      </c>
      <c r="D19" s="30">
        <v>13568058</v>
      </c>
      <c r="E19" s="30">
        <v>15548000</v>
      </c>
      <c r="F19" s="7">
        <f>+Tabla2[[#This Row],[ANTICIPO]]-Tabla2[[#This Row],[TOTAL]]</f>
        <v>1979942</v>
      </c>
      <c r="G19" s="7" t="str">
        <f t="shared" si="1"/>
        <v>SALDO A FAVOR</v>
      </c>
      <c r="H19" s="10">
        <v>46052</v>
      </c>
    </row>
    <row r="20" spans="1:8" hidden="1" x14ac:dyDescent="0.35">
      <c r="A20" s="25" t="s">
        <v>26</v>
      </c>
      <c r="B20" s="27" t="s">
        <v>56</v>
      </c>
      <c r="C20" s="29">
        <v>45986</v>
      </c>
      <c r="D20" s="30">
        <v>19780540</v>
      </c>
      <c r="E20" s="30">
        <v>10669000</v>
      </c>
      <c r="F20" s="7">
        <f>+Tabla2[[#This Row],[ANTICIPO]]-Tabla2[[#This Row],[TOTAL]]</f>
        <v>-9111540</v>
      </c>
      <c r="G20" s="7" t="str">
        <f t="shared" si="1"/>
        <v>SALDO A CARGO</v>
      </c>
      <c r="H20" s="10">
        <v>46052</v>
      </c>
    </row>
    <row r="21" spans="1:8" hidden="1" x14ac:dyDescent="0.35">
      <c r="A21" s="25" t="s">
        <v>27</v>
      </c>
      <c r="B21" s="27" t="s">
        <v>57</v>
      </c>
      <c r="C21" s="29">
        <v>45986</v>
      </c>
      <c r="D21" s="30">
        <v>13118598</v>
      </c>
      <c r="E21" s="30">
        <v>11722704</v>
      </c>
      <c r="F21" s="7">
        <f>+Tabla2[[#This Row],[ANTICIPO]]-Tabla2[[#This Row],[TOTAL]]</f>
        <v>-1395894</v>
      </c>
      <c r="G21" s="7" t="str">
        <f t="shared" si="1"/>
        <v>SALDO A CARGO</v>
      </c>
      <c r="H21" s="10">
        <v>46052</v>
      </c>
    </row>
    <row r="22" spans="1:8" hidden="1" x14ac:dyDescent="0.35">
      <c r="A22" s="25" t="s">
        <v>28</v>
      </c>
      <c r="B22" s="27" t="s">
        <v>58</v>
      </c>
      <c r="C22" s="29">
        <v>45986</v>
      </c>
      <c r="D22" s="30">
        <v>10089473</v>
      </c>
      <c r="E22" s="30">
        <v>11371304</v>
      </c>
      <c r="F22" s="7">
        <f>+Tabla2[[#This Row],[ANTICIPO]]-Tabla2[[#This Row],[TOTAL]]</f>
        <v>1281831</v>
      </c>
      <c r="G22" s="7" t="str">
        <f t="shared" si="1"/>
        <v>SALDO A FAVOR</v>
      </c>
      <c r="H22" s="10">
        <v>46052</v>
      </c>
    </row>
    <row r="23" spans="1:8" hidden="1" x14ac:dyDescent="0.35">
      <c r="A23" s="25" t="s">
        <v>29</v>
      </c>
      <c r="B23" s="27" t="s">
        <v>59</v>
      </c>
      <c r="C23" s="29">
        <v>45987</v>
      </c>
      <c r="D23" s="30">
        <v>14458273</v>
      </c>
      <c r="E23" s="30">
        <v>16451544</v>
      </c>
      <c r="F23" s="7">
        <f>+Tabla2[[#This Row],[ANTICIPO]]-Tabla2[[#This Row],[TOTAL]]</f>
        <v>1993271</v>
      </c>
      <c r="G23" s="7" t="str">
        <f t="shared" si="1"/>
        <v>SALDO A FAVOR</v>
      </c>
      <c r="H23" s="10">
        <v>46052</v>
      </c>
    </row>
    <row r="24" spans="1:8" hidden="1" x14ac:dyDescent="0.35">
      <c r="A24" s="25" t="s">
        <v>30</v>
      </c>
      <c r="B24" s="27" t="s">
        <v>60</v>
      </c>
      <c r="C24" s="29">
        <v>46001</v>
      </c>
      <c r="D24" s="30">
        <v>14405010</v>
      </c>
      <c r="E24" s="30">
        <v>15398000</v>
      </c>
      <c r="F24" s="7">
        <f>+Tabla2[[#This Row],[ANTICIPO]]-Tabla2[[#This Row],[TOTAL]]</f>
        <v>992990</v>
      </c>
      <c r="G24" s="7" t="str">
        <f t="shared" si="1"/>
        <v>SALDO A FAVOR</v>
      </c>
      <c r="H24" s="10">
        <v>46052</v>
      </c>
    </row>
    <row r="25" spans="1:8" hidden="1" x14ac:dyDescent="0.35">
      <c r="A25" s="25" t="s">
        <v>31</v>
      </c>
      <c r="B25" s="27" t="s">
        <v>61</v>
      </c>
      <c r="C25" s="29">
        <v>46001</v>
      </c>
      <c r="D25" s="30">
        <v>14405280</v>
      </c>
      <c r="E25" s="30">
        <v>15398000</v>
      </c>
      <c r="F25" s="7">
        <f>+Tabla2[[#This Row],[ANTICIPO]]-Tabla2[[#This Row],[TOTAL]]</f>
        <v>992720</v>
      </c>
      <c r="G25" s="7" t="str">
        <f t="shared" si="1"/>
        <v>SALDO A FAVOR</v>
      </c>
      <c r="H25" s="10">
        <v>46052</v>
      </c>
    </row>
    <row r="26" spans="1:8" hidden="1" x14ac:dyDescent="0.35">
      <c r="A26" s="25" t="s">
        <v>32</v>
      </c>
      <c r="B26" s="27" t="s">
        <v>62</v>
      </c>
      <c r="C26" s="29">
        <v>46001</v>
      </c>
      <c r="D26" s="30">
        <v>9340856</v>
      </c>
      <c r="E26" s="30">
        <v>10719000</v>
      </c>
      <c r="F26" s="7">
        <f>+Tabla2[[#This Row],[ANTICIPO]]-Tabla2[[#This Row],[TOTAL]]</f>
        <v>1378144</v>
      </c>
      <c r="G26" s="7" t="str">
        <f t="shared" si="1"/>
        <v>SALDO A FAVOR</v>
      </c>
      <c r="H26" s="10">
        <v>46052</v>
      </c>
    </row>
    <row r="27" spans="1:8" hidden="1" x14ac:dyDescent="0.35">
      <c r="A27" s="25" t="s">
        <v>33</v>
      </c>
      <c r="B27" s="27" t="s">
        <v>63</v>
      </c>
      <c r="C27" s="29">
        <v>46002</v>
      </c>
      <c r="D27" s="30">
        <v>18324233</v>
      </c>
      <c r="E27" s="30">
        <v>15538000</v>
      </c>
      <c r="F27" s="7">
        <f>+Tabla2[[#This Row],[ANTICIPO]]-Tabla2[[#This Row],[TOTAL]]</f>
        <v>-2786233</v>
      </c>
      <c r="G27" s="7" t="str">
        <f t="shared" si="1"/>
        <v>SALDO A CARGO</v>
      </c>
      <c r="H27" s="10">
        <v>46052</v>
      </c>
    </row>
    <row r="28" spans="1:8" hidden="1" x14ac:dyDescent="0.35">
      <c r="A28" s="25" t="s">
        <v>34</v>
      </c>
      <c r="B28" s="27" t="s">
        <v>64</v>
      </c>
      <c r="C28" s="29">
        <v>46017</v>
      </c>
      <c r="D28" s="30">
        <v>30837923</v>
      </c>
      <c r="E28" s="30">
        <v>28194328</v>
      </c>
      <c r="F28" s="7">
        <f>+Tabla2[[#This Row],[ANTICIPO]]-Tabla2[[#This Row],[TOTAL]]</f>
        <v>-2643595</v>
      </c>
      <c r="G28" s="7" t="str">
        <f t="shared" si="1"/>
        <v>SALDO A CARGO</v>
      </c>
      <c r="H28" s="10">
        <v>46052</v>
      </c>
    </row>
    <row r="29" spans="1:8" hidden="1" x14ac:dyDescent="0.35">
      <c r="A29" s="25" t="s">
        <v>35</v>
      </c>
      <c r="B29" s="27" t="s">
        <v>65</v>
      </c>
      <c r="C29" s="29">
        <v>46014</v>
      </c>
      <c r="D29" s="30">
        <v>28391979</v>
      </c>
      <c r="E29" s="30">
        <v>29053000</v>
      </c>
      <c r="F29" s="7">
        <f>+Tabla2[[#This Row],[ANTICIPO]]-Tabla2[[#This Row],[TOTAL]]</f>
        <v>661021</v>
      </c>
      <c r="G29" s="7" t="str">
        <f t="shared" si="1"/>
        <v>SALDO A FAVOR</v>
      </c>
      <c r="H29" s="10">
        <v>46052</v>
      </c>
    </row>
    <row r="30" spans="1:8" hidden="1" x14ac:dyDescent="0.35">
      <c r="A30" s="25" t="s">
        <v>36</v>
      </c>
      <c r="B30" s="27" t="s">
        <v>66</v>
      </c>
      <c r="C30" s="29">
        <v>46017</v>
      </c>
      <c r="D30" s="30">
        <v>67406629</v>
      </c>
      <c r="E30" s="30">
        <v>66698000</v>
      </c>
      <c r="F30" s="7">
        <f>+Tabla2[[#This Row],[ANTICIPO]]-Tabla2[[#This Row],[TOTAL]]</f>
        <v>-708629</v>
      </c>
      <c r="G30" s="7" t="str">
        <f t="shared" si="1"/>
        <v>SALDO A CARGO</v>
      </c>
      <c r="H30" s="10">
        <v>46052</v>
      </c>
    </row>
    <row r="31" spans="1:8" hidden="1" x14ac:dyDescent="0.35">
      <c r="A31" s="25" t="s">
        <v>37</v>
      </c>
      <c r="B31" s="27" t="s">
        <v>67</v>
      </c>
      <c r="C31" s="29">
        <v>46018</v>
      </c>
      <c r="D31" s="30">
        <v>30054282</v>
      </c>
      <c r="E31" s="30">
        <v>29638100</v>
      </c>
      <c r="F31" s="7">
        <f>+Tabla2[[#This Row],[ANTICIPO]]-Tabla2[[#This Row],[TOTAL]]</f>
        <v>-416182</v>
      </c>
      <c r="G31" s="7" t="str">
        <f t="shared" si="1"/>
        <v>SALDO A CARGO</v>
      </c>
      <c r="H31" s="10">
        <v>46052</v>
      </c>
    </row>
    <row r="32" spans="1:8" hidden="1" x14ac:dyDescent="0.35">
      <c r="A32" s="25" t="s">
        <v>38</v>
      </c>
      <c r="B32" s="27" t="s">
        <v>68</v>
      </c>
      <c r="C32" s="29">
        <v>46018</v>
      </c>
      <c r="D32" s="30">
        <v>34344673</v>
      </c>
      <c r="E32" s="30">
        <v>34353000</v>
      </c>
      <c r="F32" s="7">
        <f>+Tabla2[[#This Row],[ANTICIPO]]-Tabla2[[#This Row],[TOTAL]]</f>
        <v>8327</v>
      </c>
      <c r="G32" s="7" t="str">
        <f t="shared" si="1"/>
        <v>SALDO A FAVOR</v>
      </c>
      <c r="H32" s="10">
        <v>46052</v>
      </c>
    </row>
    <row r="33" spans="1:8" hidden="1" x14ac:dyDescent="0.35">
      <c r="A33" s="25" t="s">
        <v>39</v>
      </c>
      <c r="B33" s="27" t="s">
        <v>69</v>
      </c>
      <c r="C33" s="29">
        <v>46018</v>
      </c>
      <c r="D33" s="30">
        <v>30554482</v>
      </c>
      <c r="E33" s="30">
        <v>30538000</v>
      </c>
      <c r="F33" s="7">
        <f>+Tabla2[[#This Row],[ANTICIPO]]-Tabla2[[#This Row],[TOTAL]]</f>
        <v>-16482</v>
      </c>
      <c r="G33" s="7" t="str">
        <f t="shared" si="1"/>
        <v>SALDO A CARGO</v>
      </c>
      <c r="H33" s="10">
        <v>46052</v>
      </c>
    </row>
    <row r="34" spans="1:8" hidden="1" x14ac:dyDescent="0.35">
      <c r="A34" s="25" t="s">
        <v>40</v>
      </c>
      <c r="B34" s="27" t="s">
        <v>70</v>
      </c>
      <c r="C34" s="29">
        <v>46018</v>
      </c>
      <c r="D34" s="30">
        <v>28308636</v>
      </c>
      <c r="E34" s="30">
        <v>30036000</v>
      </c>
      <c r="F34" s="7">
        <f>+Tabla2[[#This Row],[ANTICIPO]]-Tabla2[[#This Row],[TOTAL]]</f>
        <v>1727364</v>
      </c>
      <c r="G34" s="7" t="str">
        <f t="shared" si="1"/>
        <v>SALDO A FAVOR</v>
      </c>
      <c r="H34" s="10">
        <v>46052</v>
      </c>
    </row>
    <row r="35" spans="1:8" hidden="1" x14ac:dyDescent="0.35">
      <c r="A35" s="25" t="s">
        <v>41</v>
      </c>
      <c r="B35" s="28" t="s">
        <v>71</v>
      </c>
      <c r="C35" s="29">
        <v>46038</v>
      </c>
      <c r="D35" s="30">
        <v>34464140</v>
      </c>
      <c r="E35" s="30">
        <v>30437264</v>
      </c>
      <c r="F35" s="7">
        <f>+Tabla2[[#This Row],[ANTICIPO]]-Tabla2[[#This Row],[TOTAL]]</f>
        <v>-4026876</v>
      </c>
      <c r="G35" s="7" t="str">
        <f t="shared" si="1"/>
        <v>SALDO A CARGO</v>
      </c>
      <c r="H35" s="10">
        <v>46052</v>
      </c>
    </row>
    <row r="36" spans="1:8" x14ac:dyDescent="0.35">
      <c r="A36" s="25" t="s">
        <v>72</v>
      </c>
      <c r="B36" s="26" t="s">
        <v>83</v>
      </c>
      <c r="C36" s="29">
        <v>46074</v>
      </c>
      <c r="D36" s="30">
        <v>41868042</v>
      </c>
      <c r="E36" s="30">
        <v>45226000</v>
      </c>
      <c r="F36" s="7">
        <f>+Tabla2[[#This Row],[ANTICIPO]]-Tabla2[[#This Row],[TOTAL]]</f>
        <v>3357958</v>
      </c>
      <c r="G36" s="7" t="str">
        <f t="shared" si="1"/>
        <v>SALDO A FAVOR</v>
      </c>
    </row>
    <row r="37" spans="1:8" x14ac:dyDescent="0.35">
      <c r="A37" s="25" t="s">
        <v>73</v>
      </c>
      <c r="B37" s="26" t="s">
        <v>84</v>
      </c>
      <c r="C37" s="29">
        <v>46079</v>
      </c>
      <c r="D37" s="30">
        <v>26347628</v>
      </c>
      <c r="E37" s="30">
        <v>28992000</v>
      </c>
      <c r="F37" s="7">
        <f>+Tabla2[[#This Row],[ANTICIPO]]-Tabla2[[#This Row],[TOTAL]]</f>
        <v>2644372</v>
      </c>
      <c r="G37" s="7" t="str">
        <f t="shared" si="1"/>
        <v>SALDO A FAVOR</v>
      </c>
    </row>
    <row r="38" spans="1:8" x14ac:dyDescent="0.35">
      <c r="A38" s="25" t="s">
        <v>74</v>
      </c>
      <c r="B38" s="26" t="s">
        <v>85</v>
      </c>
      <c r="C38" s="29">
        <v>46074</v>
      </c>
      <c r="D38" s="30">
        <v>30592159</v>
      </c>
      <c r="E38" s="30">
        <v>34001700</v>
      </c>
      <c r="F38" s="7">
        <f>+Tabla2[[#This Row],[ANTICIPO]]-Tabla2[[#This Row],[TOTAL]]</f>
        <v>3409541</v>
      </c>
      <c r="G38" s="7" t="str">
        <f t="shared" si="1"/>
        <v>SALDO A FAVOR</v>
      </c>
    </row>
    <row r="39" spans="1:8" x14ac:dyDescent="0.35">
      <c r="A39" s="25" t="s">
        <v>75</v>
      </c>
      <c r="B39" s="26" t="s">
        <v>86</v>
      </c>
      <c r="C39" s="29">
        <v>46074</v>
      </c>
      <c r="D39" s="30">
        <v>25804839</v>
      </c>
      <c r="E39" s="30">
        <v>28992000</v>
      </c>
      <c r="F39" s="7">
        <f>+Tabla2[[#This Row],[ANTICIPO]]-Tabla2[[#This Row],[TOTAL]]</f>
        <v>3187161</v>
      </c>
      <c r="G39" s="7" t="str">
        <f t="shared" si="1"/>
        <v>SALDO A FAVOR</v>
      </c>
    </row>
    <row r="40" spans="1:8" x14ac:dyDescent="0.35">
      <c r="A40" s="25" t="s">
        <v>76</v>
      </c>
      <c r="B40" s="26" t="s">
        <v>87</v>
      </c>
      <c r="C40" s="29">
        <v>45734</v>
      </c>
      <c r="D40" s="30">
        <v>30722282</v>
      </c>
      <c r="E40" s="30">
        <v>27766000</v>
      </c>
      <c r="F40" s="7">
        <f>+Tabla2[[#This Row],[ANTICIPO]]-Tabla2[[#This Row],[TOTAL]]</f>
        <v>-2956282</v>
      </c>
      <c r="G40" s="7" t="str">
        <f t="shared" si="1"/>
        <v>SALDO A CARGO</v>
      </c>
    </row>
    <row r="41" spans="1:8" x14ac:dyDescent="0.35">
      <c r="A41" s="25" t="s">
        <v>77</v>
      </c>
      <c r="B41" s="26" t="s">
        <v>88</v>
      </c>
      <c r="C41" s="29">
        <v>46099</v>
      </c>
      <c r="D41" s="30">
        <v>32281601</v>
      </c>
      <c r="E41" s="30">
        <v>33496000</v>
      </c>
      <c r="F41" s="7">
        <f>+Tabla2[[#This Row],[ANTICIPO]]-Tabla2[[#This Row],[TOTAL]]</f>
        <v>1214399</v>
      </c>
      <c r="G41" s="7" t="str">
        <f t="shared" si="1"/>
        <v>SALDO A FAVOR</v>
      </c>
    </row>
    <row r="42" spans="1:8" x14ac:dyDescent="0.35">
      <c r="A42" s="25" t="s">
        <v>78</v>
      </c>
      <c r="B42" s="26" t="s">
        <v>89</v>
      </c>
      <c r="C42" s="29">
        <v>46110</v>
      </c>
      <c r="D42" s="30">
        <v>31626593</v>
      </c>
      <c r="E42" s="30">
        <v>34322000</v>
      </c>
      <c r="F42" s="7">
        <f>+Tabla2[[#This Row],[ANTICIPO]]-Tabla2[[#This Row],[TOTAL]]</f>
        <v>2695407</v>
      </c>
      <c r="G42" s="7" t="str">
        <f t="shared" si="1"/>
        <v>SALDO A FAVOR</v>
      </c>
    </row>
    <row r="43" spans="1:8" x14ac:dyDescent="0.35">
      <c r="A43" s="25" t="s">
        <v>79</v>
      </c>
      <c r="B43" s="26" t="s">
        <v>90</v>
      </c>
      <c r="C43" s="29">
        <v>46110</v>
      </c>
      <c r="D43" s="30">
        <v>31405713</v>
      </c>
      <c r="E43" s="30">
        <v>34604740</v>
      </c>
      <c r="F43" s="7">
        <f>+Tabla2[[#This Row],[ANTICIPO]]-Tabla2[[#This Row],[TOTAL]]</f>
        <v>3199027</v>
      </c>
      <c r="G43" s="7" t="str">
        <f t="shared" si="1"/>
        <v>SALDO A FAVOR</v>
      </c>
    </row>
    <row r="44" spans="1:8" x14ac:dyDescent="0.35">
      <c r="A44" s="25" t="s">
        <v>80</v>
      </c>
      <c r="B44" s="26" t="s">
        <v>91</v>
      </c>
      <c r="C44" s="29">
        <v>46134</v>
      </c>
      <c r="D44" s="30">
        <v>34119133</v>
      </c>
      <c r="E44" s="30">
        <v>31922180</v>
      </c>
      <c r="F44" s="7">
        <f>+Tabla2[[#This Row],[ANTICIPO]]-Tabla2[[#This Row],[TOTAL]]</f>
        <v>-2196953</v>
      </c>
      <c r="G44" s="7" t="str">
        <f t="shared" si="1"/>
        <v>SALDO A CARGO</v>
      </c>
    </row>
    <row r="45" spans="1:8" x14ac:dyDescent="0.35">
      <c r="A45" s="25" t="s">
        <v>81</v>
      </c>
      <c r="B45" s="26" t="s">
        <v>92</v>
      </c>
      <c r="C45" s="29">
        <v>46134</v>
      </c>
      <c r="D45" s="30">
        <v>34235758</v>
      </c>
      <c r="E45" s="30">
        <v>34411000</v>
      </c>
      <c r="F45" s="7">
        <f>+Tabla2[[#This Row],[ANTICIPO]]-Tabla2[[#This Row],[TOTAL]]</f>
        <v>175242</v>
      </c>
      <c r="G45" s="7" t="str">
        <f t="shared" si="1"/>
        <v>SALDO A FAVOR</v>
      </c>
    </row>
    <row r="46" spans="1:8" x14ac:dyDescent="0.35">
      <c r="A46" s="25" t="s">
        <v>82</v>
      </c>
      <c r="B46" s="26" t="s">
        <v>93</v>
      </c>
      <c r="C46" s="29">
        <v>46134</v>
      </c>
      <c r="D46" s="30">
        <v>35616375</v>
      </c>
      <c r="E46" s="30">
        <v>34409000</v>
      </c>
      <c r="F46" s="7">
        <f>+Tabla2[[#This Row],[ANTICIPO]]-Tabla2[[#This Row],[TOTAL]]</f>
        <v>-1207375</v>
      </c>
      <c r="G46" s="7" t="str">
        <f t="shared" si="1"/>
        <v>SALDO A CARGO</v>
      </c>
    </row>
    <row r="47" spans="1:8" x14ac:dyDescent="0.35">
      <c r="A47" s="8"/>
      <c r="B47" s="9"/>
      <c r="C47" s="10"/>
      <c r="F47" s="7">
        <f>+Tabla2[[#This Row],[ANTICIPO]]-Tabla2[[#This Row],[TOTAL]]</f>
        <v>0</v>
      </c>
      <c r="G47" s="7" t="str">
        <f t="shared" si="1"/>
        <v>SALDO A CARGO</v>
      </c>
    </row>
    <row r="48" spans="1:8" x14ac:dyDescent="0.35">
      <c r="A48" s="8"/>
      <c r="B48" s="9"/>
      <c r="C48" s="10"/>
      <c r="F48" s="7">
        <f>+Tabla2[[#This Row],[ANTICIPO]]-Tabla2[[#This Row],[TOTAL]]</f>
        <v>0</v>
      </c>
      <c r="G48" s="7" t="str">
        <f t="shared" si="1"/>
        <v>SALDO A CARGO</v>
      </c>
    </row>
    <row r="49" spans="1:7" x14ac:dyDescent="0.35">
      <c r="A49" s="8"/>
      <c r="B49" s="9"/>
      <c r="C49" s="10"/>
      <c r="F49" s="7">
        <f>+Tabla2[[#This Row],[ANTICIPO]]-Tabla2[[#This Row],[TOTAL]]</f>
        <v>0</v>
      </c>
      <c r="G49" s="7" t="str">
        <f t="shared" si="1"/>
        <v>SALDO A CARGO</v>
      </c>
    </row>
    <row r="50" spans="1:7" x14ac:dyDescent="0.35">
      <c r="A50" s="8"/>
      <c r="B50" s="9"/>
      <c r="C50" s="10"/>
      <c r="F50" s="7">
        <f>+Tabla2[[#This Row],[ANTICIPO]]-Tabla2[[#This Row],[TOTAL]]</f>
        <v>0</v>
      </c>
      <c r="G50" s="7" t="str">
        <f t="shared" si="1"/>
        <v>SALDO A CARGO</v>
      </c>
    </row>
    <row r="51" spans="1:7" x14ac:dyDescent="0.35">
      <c r="A51" s="8"/>
      <c r="B51" s="9"/>
      <c r="C51" s="10"/>
      <c r="F51" s="7">
        <f>+Tabla2[[#This Row],[ANTICIPO]]-Tabla2[[#This Row],[TOTAL]]</f>
        <v>0</v>
      </c>
      <c r="G51" s="7" t="str">
        <f>+IF(F51&gt;0,"SALDO A FAVOR","SALDO A CARGO")</f>
        <v>SALDO A CARGO</v>
      </c>
    </row>
    <row r="52" spans="1:7" x14ac:dyDescent="0.35">
      <c r="A52" s="8"/>
      <c r="B52" s="9"/>
      <c r="C52" s="10"/>
      <c r="F52" s="7">
        <f>+Tabla2[[#This Row],[ANTICIPO]]-Tabla2[[#This Row],[TOTAL]]</f>
        <v>0</v>
      </c>
      <c r="G52" s="7" t="str">
        <f>+IF(F52&gt;0,"SALDO A FAVOR","SALDO A CARGO")</f>
        <v>SALDO A CARGO</v>
      </c>
    </row>
    <row r="53" spans="1:7" x14ac:dyDescent="0.35">
      <c r="A53" s="8"/>
      <c r="B53" s="9"/>
      <c r="C53" s="10"/>
      <c r="F53" s="7">
        <f>+Tabla2[[#This Row],[ANTICIPO]]-Tabla2[[#This Row],[TOTAL]]</f>
        <v>0</v>
      </c>
      <c r="G53" s="7" t="str">
        <f>+IF(F53&gt;0,"SALDO A FAVOR","SALDO A CARGO")</f>
        <v>SALDO A CARGO</v>
      </c>
    </row>
    <row r="54" spans="1:7" x14ac:dyDescent="0.35">
      <c r="A54" s="8"/>
      <c r="B54" s="9"/>
      <c r="C54" s="10"/>
      <c r="F54" s="7">
        <f>+Tabla2[[#This Row],[ANTICIPO]]-Tabla2[[#This Row],[TOTAL]]</f>
        <v>0</v>
      </c>
      <c r="G54" s="7" t="str">
        <f>+IF(F54&gt;0,"SALDO A FAVOR","SALDO A CARGO")</f>
        <v>SALDO A CARGO</v>
      </c>
    </row>
    <row r="55" spans="1:7" x14ac:dyDescent="0.35">
      <c r="A55" s="8"/>
      <c r="B55" s="9"/>
      <c r="C55" s="24"/>
      <c r="F55" s="7">
        <f>+Tabla2[[#This Row],[ANTICIPO]]-Tabla2[[#This Row],[TOTAL]]</f>
        <v>0</v>
      </c>
      <c r="G55" s="7" t="str">
        <f>+IF(F55&gt;0,"SALDO A FAVOR","SALDO A CARGO")</f>
        <v>SALDO A CARGO</v>
      </c>
    </row>
    <row r="56" spans="1:7" x14ac:dyDescent="0.35">
      <c r="A56" s="8"/>
      <c r="B56" s="11"/>
    </row>
    <row r="57" spans="1:7" x14ac:dyDescent="0.35">
      <c r="A57" s="8"/>
      <c r="B57" s="11"/>
    </row>
    <row r="58" spans="1:7" x14ac:dyDescent="0.35">
      <c r="A58" s="8"/>
      <c r="B58" s="11"/>
    </row>
    <row r="59" spans="1:7" x14ac:dyDescent="0.35">
      <c r="A59" s="8"/>
      <c r="B59" s="11"/>
    </row>
    <row r="60" spans="1:7" x14ac:dyDescent="0.35">
      <c r="A60" s="8"/>
      <c r="B60" s="11"/>
    </row>
    <row r="61" spans="1:7" x14ac:dyDescent="0.35">
      <c r="A61" s="8"/>
      <c r="B61" s="11"/>
    </row>
    <row r="62" spans="1:7" x14ac:dyDescent="0.35">
      <c r="A62" s="8"/>
      <c r="B62" s="11"/>
    </row>
    <row r="63" spans="1:7" x14ac:dyDescent="0.35">
      <c r="A63" s="8"/>
      <c r="B63" s="11"/>
    </row>
    <row r="64" spans="1:7" x14ac:dyDescent="0.35">
      <c r="A64" s="8"/>
      <c r="B64" s="11"/>
    </row>
    <row r="65" spans="1:2" x14ac:dyDescent="0.35">
      <c r="A65" s="8"/>
      <c r="B65" s="11"/>
    </row>
    <row r="66" spans="1:2" x14ac:dyDescent="0.35">
      <c r="A66" s="8"/>
      <c r="B66" s="11"/>
    </row>
    <row r="67" spans="1:2" x14ac:dyDescent="0.35">
      <c r="A67" s="8"/>
      <c r="B67" s="11"/>
    </row>
    <row r="68" spans="1:2" x14ac:dyDescent="0.35">
      <c r="A68" s="8"/>
      <c r="B68" s="11"/>
    </row>
    <row r="69" spans="1:2" x14ac:dyDescent="0.35">
      <c r="A69" s="8"/>
      <c r="B69" s="11"/>
    </row>
    <row r="70" spans="1:2" x14ac:dyDescent="0.35">
      <c r="A70" s="8"/>
      <c r="B70" s="11"/>
    </row>
    <row r="71" spans="1:2" x14ac:dyDescent="0.35">
      <c r="A71" s="8"/>
      <c r="B71" s="11"/>
    </row>
    <row r="72" spans="1:2" x14ac:dyDescent="0.35">
      <c r="A72" s="8"/>
      <c r="B72" s="11"/>
    </row>
    <row r="73" spans="1:2" x14ac:dyDescent="0.35">
      <c r="A73" s="8"/>
      <c r="B73" s="11"/>
    </row>
    <row r="74" spans="1:2" x14ac:dyDescent="0.35">
      <c r="A74" s="8"/>
      <c r="B74" s="11"/>
    </row>
    <row r="75" spans="1:2" x14ac:dyDescent="0.35">
      <c r="A75" s="8"/>
      <c r="B75" s="11"/>
    </row>
  </sheetData>
  <phoneticPr fontId="5" type="noConversion"/>
  <conditionalFormatting sqref="E1:E3">
    <cfRule type="cellIs" dxfId="3" priority="1" operator="lessThan">
      <formula>0</formula>
    </cfRule>
    <cfRule type="cellIs" dxfId="2" priority="2" operator="greaterThan">
      <formula>0</formula>
    </cfRule>
  </conditionalFormatting>
  <conditionalFormatting sqref="F1:F4 F6:F1048576">
    <cfRule type="cellIs" dxfId="1" priority="3" operator="lessThan">
      <formula>0</formula>
    </cfRule>
    <cfRule type="cellIs" dxfId="0" priority="4" operator="greaterThan">
      <formula>0</formula>
    </cfRule>
  </conditionalFormatting>
  <pageMargins left="0.7" right="0.7" top="0.75" bottom="0.75" header="0.3" footer="0.3"/>
  <pageSetup paperSize="12" orientation="landscape" r:id="rId1"/>
  <ignoredErrors>
    <ignoredError sqref="H6:H13 H14:H35" calculatedColumn="1"/>
  </ignoredErrors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G.EMP.PAPIS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maria camila grisales gutierrez</dc:creator>
  <cp:lastModifiedBy>maria camila grisales gutierrez</cp:lastModifiedBy>
  <cp:lastPrinted>2026-04-22T17:06:04Z</cp:lastPrinted>
  <dcterms:created xsi:type="dcterms:W3CDTF">2025-09-22T22:08:45Z</dcterms:created>
  <dcterms:modified xsi:type="dcterms:W3CDTF">2026-04-22T17:06:06Z</dcterms:modified>
</cp:coreProperties>
</file>