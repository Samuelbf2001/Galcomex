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7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equipo Anterior\Desktop\GALCOMEX\CLIENTES LUIS MARTINEZ\PAGOS AÑO 2026\GRUPO E PAPIS\"/>
    </mc:Choice>
  </mc:AlternateContent>
  <xr:revisionPtr revIDLastSave="0" documentId="13_ncr:1_{CAAD49B0-185C-4E32-BAB2-CC107A1C055B}" xr6:coauthVersionLast="47" xr6:coauthVersionMax="47" xr10:uidLastSave="{00000000-0000-0000-0000-000000000000}"/>
  <bookViews>
    <workbookView xWindow="-108" yWindow="-108" windowWidth="23256" windowHeight="13896" firstSheet="21" activeTab="26" xr2:uid="{96273F4F-CC86-4DA7-95FF-F43E3FFEBA16}"/>
  </bookViews>
  <sheets>
    <sheet name="MODELO 2026" sheetId="19" r:id="rId1"/>
    <sheet name="BUN26-0026" sheetId="6" r:id="rId2"/>
    <sheet name="BUN26-0098" sheetId="23" r:id="rId3"/>
    <sheet name="CTG26-0028" sheetId="4" r:id="rId4"/>
    <sheet name="CTG26-0032" sheetId="5" r:id="rId5"/>
    <sheet name="CTG26-0033" sheetId="7" r:id="rId6"/>
    <sheet name="CTG26-0063" sheetId="9" r:id="rId7"/>
    <sheet name="CTG26-0070" sheetId="1" r:id="rId8"/>
    <sheet name="CTG26-0078" sheetId="11" r:id="rId9"/>
    <sheet name="CTG26-0079" sheetId="10" r:id="rId10"/>
    <sheet name="CTG26-0090" sheetId="13" r:id="rId11"/>
    <sheet name="CTG26-0098" sheetId="12" r:id="rId12"/>
    <sheet name="CTG26-0099" sheetId="14" r:id="rId13"/>
    <sheet name="CTG26-0105" sheetId="16" r:id="rId14"/>
    <sheet name="CTG26-0106" sheetId="15" r:id="rId15"/>
    <sheet name="CTG26-0111" sheetId="17" r:id="rId16"/>
    <sheet name="CTG26-0118" sheetId="20" r:id="rId17"/>
    <sheet name="CTG26-0124" sheetId="8" r:id="rId18"/>
    <sheet name="CTG26-0126" sheetId="21" r:id="rId19"/>
    <sheet name="CTG26-0128" sheetId="24" r:id="rId20"/>
    <sheet name="CTG26-0133" sheetId="22" r:id="rId21"/>
    <sheet name="CTG26-0141" sheetId="25" r:id="rId22"/>
    <sheet name="CTG26-0142" sheetId="26" r:id="rId23"/>
    <sheet name="CTG26-0150" sheetId="27" r:id="rId24"/>
    <sheet name="CTG26-0151" sheetId="28" r:id="rId25"/>
    <sheet name="CTG26-0169" sheetId="29" r:id="rId26"/>
    <sheet name="CTG26-0174" sheetId="30" r:id="rId27"/>
    <sheet name="ANTICIPOS" sheetId="3" r:id="rId28"/>
    <sheet name="RELACION FACT 2026" sheetId="2" r:id="rId29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8" i="30" l="1"/>
  <c r="H58" i="30"/>
  <c r="E58" i="30"/>
  <c r="D58" i="30"/>
  <c r="B58" i="30"/>
  <c r="A58" i="30"/>
  <c r="B54" i="30" a="1"/>
  <c r="B50" i="30" a="1"/>
  <c r="B44" i="30"/>
  <c r="B38" i="30"/>
  <c r="F37" i="30" a="1"/>
  <c r="F36" i="30" a="1"/>
  <c r="F35" i="30" a="1"/>
  <c r="F34" i="30" a="1"/>
  <c r="F33" i="30" a="1"/>
  <c r="F32" i="30" a="1"/>
  <c r="F31" i="30" a="1"/>
  <c r="F30" i="30" a="1"/>
  <c r="F29" i="30" a="1"/>
  <c r="F28" i="30" a="1"/>
  <c r="F27" i="30" a="1"/>
  <c r="F26" i="30" a="1"/>
  <c r="F25" i="30" a="1"/>
  <c r="F24" i="30" a="1"/>
  <c r="F23" i="30" a="1"/>
  <c r="B20" i="30"/>
  <c r="D17" i="30" a="1"/>
  <c r="D16" i="30" a="1"/>
  <c r="D15" i="30" a="1"/>
  <c r="D14" i="30" a="1"/>
  <c r="D13" i="30" a="1"/>
  <c r="D12" i="30" a="1"/>
  <c r="D11" i="30" a="1"/>
  <c r="D10" i="30" a="1"/>
  <c r="D9" i="30" a="1"/>
  <c r="D8" i="30" a="1"/>
  <c r="D7" i="30" a="1"/>
  <c r="D6" i="30" a="1"/>
  <c r="D5" i="30" a="1"/>
  <c r="D18" i="30" s="1"/>
  <c r="F38" i="30" s="1"/>
  <c r="C41" i="30" s="1"/>
  <c r="I2" i="30"/>
  <c r="K58" i="29"/>
  <c r="H58" i="29"/>
  <c r="E58" i="29"/>
  <c r="D58" i="29"/>
  <c r="B58" i="29"/>
  <c r="A58" i="29"/>
  <c r="B54" i="29" a="1"/>
  <c r="B50" i="29" a="1"/>
  <c r="B44" i="29"/>
  <c r="B38" i="29"/>
  <c r="F37" i="29" a="1"/>
  <c r="F36" i="29" a="1"/>
  <c r="F35" i="29" a="1"/>
  <c r="F34" i="29" a="1"/>
  <c r="F33" i="29" a="1"/>
  <c r="F32" i="29" a="1"/>
  <c r="F31" i="29" a="1"/>
  <c r="F30" i="29" a="1"/>
  <c r="F29" i="29" a="1"/>
  <c r="F28" i="29" a="1"/>
  <c r="F27" i="29" a="1"/>
  <c r="F26" i="29" a="1"/>
  <c r="F25" i="29" a="1"/>
  <c r="F24" i="29" a="1"/>
  <c r="F23" i="29" a="1"/>
  <c r="B20" i="29"/>
  <c r="D17" i="29" a="1"/>
  <c r="D16" i="29" a="1"/>
  <c r="D15" i="29" a="1"/>
  <c r="D14" i="29" a="1"/>
  <c r="D13" i="29" a="1"/>
  <c r="D12" i="29" a="1"/>
  <c r="D11" i="29" a="1"/>
  <c r="D10" i="29" a="1"/>
  <c r="D9" i="29" a="1"/>
  <c r="D8" i="29" a="1"/>
  <c r="D7" i="29" a="1"/>
  <c r="D6" i="29" a="1"/>
  <c r="D5" i="29" a="1"/>
  <c r="D18" i="29" s="1"/>
  <c r="I2" i="29"/>
  <c r="T20" i="3"/>
  <c r="S20" i="3"/>
  <c r="K58" i="28"/>
  <c r="H58" i="28"/>
  <c r="E58" i="28"/>
  <c r="D58" i="28"/>
  <c r="B58" i="28"/>
  <c r="A58" i="28"/>
  <c r="B54" i="28" a="1"/>
  <c r="B50" i="28" a="1"/>
  <c r="B44" i="28"/>
  <c r="B38" i="28"/>
  <c r="F37" i="28" a="1"/>
  <c r="F36" i="28" a="1"/>
  <c r="F35" i="28" a="1"/>
  <c r="F34" i="28" a="1"/>
  <c r="F33" i="28" a="1"/>
  <c r="F32" i="28" a="1"/>
  <c r="F31" i="28" a="1"/>
  <c r="F30" i="28" a="1"/>
  <c r="F29" i="28" a="1"/>
  <c r="F28" i="28" a="1"/>
  <c r="F27" i="28" a="1"/>
  <c r="F26" i="28" a="1"/>
  <c r="F25" i="28" a="1"/>
  <c r="F24" i="28" a="1"/>
  <c r="F23" i="28" a="1"/>
  <c r="B20" i="28"/>
  <c r="D17" i="28" a="1"/>
  <c r="D16" i="28" a="1"/>
  <c r="D15" i="28" a="1"/>
  <c r="D14" i="28" a="1"/>
  <c r="D13" i="28" a="1"/>
  <c r="D12" i="28" a="1"/>
  <c r="D11" i="28" a="1"/>
  <c r="D10" i="28" a="1"/>
  <c r="D9" i="28" a="1"/>
  <c r="D8" i="28" a="1"/>
  <c r="D7" i="28" a="1"/>
  <c r="D6" i="28" a="1"/>
  <c r="D5" i="28" a="1"/>
  <c r="D18" i="28" s="1"/>
  <c r="I2" i="28"/>
  <c r="T19" i="3"/>
  <c r="S19" i="3"/>
  <c r="K58" i="27"/>
  <c r="H58" i="27"/>
  <c r="E58" i="27"/>
  <c r="D58" i="27"/>
  <c r="B58" i="27"/>
  <c r="A58" i="27"/>
  <c r="B54" i="27" a="1"/>
  <c r="B50" i="27" a="1"/>
  <c r="B44" i="27"/>
  <c r="B38" i="27"/>
  <c r="F37" i="27" a="1"/>
  <c r="F36" i="27" a="1"/>
  <c r="F35" i="27" a="1"/>
  <c r="F34" i="27" a="1"/>
  <c r="F33" i="27" a="1"/>
  <c r="F32" i="27" a="1"/>
  <c r="F31" i="27" a="1"/>
  <c r="F30" i="27" a="1"/>
  <c r="F29" i="27" a="1"/>
  <c r="F28" i="27" a="1"/>
  <c r="F27" i="27" a="1"/>
  <c r="F26" i="27" a="1"/>
  <c r="F25" i="27" a="1"/>
  <c r="F24" i="27" a="1"/>
  <c r="F23" i="27" a="1"/>
  <c r="B20" i="27"/>
  <c r="D17" i="27" a="1"/>
  <c r="D16" i="27" a="1"/>
  <c r="D15" i="27" a="1"/>
  <c r="D14" i="27" a="1"/>
  <c r="D13" i="27" a="1"/>
  <c r="D12" i="27" a="1"/>
  <c r="D11" i="27" a="1"/>
  <c r="D10" i="27" a="1"/>
  <c r="D9" i="27" a="1"/>
  <c r="D8" i="27" a="1"/>
  <c r="D7" i="27" a="1"/>
  <c r="D6" i="27" a="1"/>
  <c r="D5" i="27" a="1"/>
  <c r="D18" i="27" s="1"/>
  <c r="I2" i="27"/>
  <c r="T18" i="3"/>
  <c r="S18" i="3"/>
  <c r="S17" i="3"/>
  <c r="T17" i="3" s="1"/>
  <c r="K58" i="26"/>
  <c r="H58" i="26"/>
  <c r="E58" i="26"/>
  <c r="D58" i="26"/>
  <c r="B58" i="26"/>
  <c r="A58" i="26"/>
  <c r="B54" i="26" a="1"/>
  <c r="B50" i="26" a="1"/>
  <c r="B44" i="26"/>
  <c r="B38" i="26"/>
  <c r="F37" i="26" a="1"/>
  <c r="F36" i="26" a="1"/>
  <c r="F35" i="26" a="1"/>
  <c r="F34" i="26" a="1"/>
  <c r="F33" i="26" a="1"/>
  <c r="F32" i="26" a="1"/>
  <c r="F31" i="26" a="1"/>
  <c r="F30" i="26" a="1"/>
  <c r="F29" i="26" a="1"/>
  <c r="F28" i="26" a="1"/>
  <c r="F27" i="26" a="1"/>
  <c r="F26" i="26" a="1"/>
  <c r="F25" i="26" a="1"/>
  <c r="F24" i="26" a="1"/>
  <c r="F23" i="26" a="1"/>
  <c r="B20" i="26"/>
  <c r="D17" i="26" a="1"/>
  <c r="D16" i="26" a="1"/>
  <c r="D15" i="26" a="1"/>
  <c r="D14" i="26" a="1"/>
  <c r="D13" i="26" a="1"/>
  <c r="D12" i="26" a="1"/>
  <c r="D11" i="26" a="1"/>
  <c r="D10" i="26" a="1"/>
  <c r="D9" i="26" a="1"/>
  <c r="D8" i="26" a="1"/>
  <c r="D7" i="26" a="1"/>
  <c r="D6" i="26" a="1"/>
  <c r="D5" i="26" a="1"/>
  <c r="D18" i="26" s="1"/>
  <c r="I2" i="26"/>
  <c r="K58" i="25"/>
  <c r="H58" i="25"/>
  <c r="E58" i="25"/>
  <c r="D58" i="25"/>
  <c r="B58" i="25"/>
  <c r="A58" i="25"/>
  <c r="B54" i="25" a="1"/>
  <c r="B50" i="25" a="1"/>
  <c r="B44" i="25"/>
  <c r="B38" i="25"/>
  <c r="F37" i="25" a="1"/>
  <c r="F36" i="25" a="1"/>
  <c r="F35" i="25" a="1"/>
  <c r="F34" i="25" a="1"/>
  <c r="F33" i="25" a="1"/>
  <c r="F32" i="25" a="1"/>
  <c r="F31" i="25" a="1"/>
  <c r="F30" i="25" a="1"/>
  <c r="F29" i="25" a="1"/>
  <c r="F28" i="25" a="1"/>
  <c r="F27" i="25" a="1"/>
  <c r="F26" i="25" a="1"/>
  <c r="F25" i="25" a="1"/>
  <c r="F24" i="25" a="1"/>
  <c r="F23" i="25" a="1"/>
  <c r="B20" i="25"/>
  <c r="D17" i="25" a="1"/>
  <c r="D16" i="25" a="1"/>
  <c r="D15" i="25" a="1"/>
  <c r="D14" i="25" a="1"/>
  <c r="D13" i="25" a="1"/>
  <c r="D12" i="25" a="1"/>
  <c r="D11" i="25" a="1"/>
  <c r="D10" i="25" a="1"/>
  <c r="D9" i="25" a="1"/>
  <c r="D8" i="25" a="1"/>
  <c r="D7" i="25" a="1"/>
  <c r="D6" i="25" a="1"/>
  <c r="D5" i="25" a="1"/>
  <c r="D18" i="25" s="1"/>
  <c r="I2" i="25"/>
  <c r="K58" i="24"/>
  <c r="H58" i="24"/>
  <c r="E58" i="24"/>
  <c r="D58" i="24"/>
  <c r="B58" i="24"/>
  <c r="A58" i="24"/>
  <c r="B54" i="24" a="1"/>
  <c r="B50" i="24" a="1"/>
  <c r="B44" i="24"/>
  <c r="B38" i="24"/>
  <c r="F37" i="24" a="1"/>
  <c r="F36" i="24" a="1"/>
  <c r="F35" i="24" a="1"/>
  <c r="F34" i="24" a="1"/>
  <c r="F33" i="24" a="1"/>
  <c r="F32" i="24" a="1"/>
  <c r="F31" i="24" a="1"/>
  <c r="F30" i="24" a="1"/>
  <c r="F29" i="24" a="1"/>
  <c r="F28" i="24" a="1"/>
  <c r="F27" i="24" a="1"/>
  <c r="F26" i="24" a="1"/>
  <c r="F25" i="24" a="1"/>
  <c r="F24" i="24" a="1"/>
  <c r="F23" i="24" a="1"/>
  <c r="B20" i="24"/>
  <c r="D17" i="24" a="1"/>
  <c r="D16" i="24" a="1"/>
  <c r="D15" i="24" a="1"/>
  <c r="D14" i="24" a="1"/>
  <c r="D13" i="24" a="1"/>
  <c r="D12" i="24" a="1"/>
  <c r="D11" i="24" a="1"/>
  <c r="D10" i="24" a="1"/>
  <c r="D9" i="24" a="1"/>
  <c r="D8" i="24" a="1"/>
  <c r="D7" i="24" a="1"/>
  <c r="D6" i="24" a="1"/>
  <c r="D5" i="24" a="1"/>
  <c r="D18" i="24" s="1"/>
  <c r="I2" i="24"/>
  <c r="K58" i="23"/>
  <c r="H58" i="23"/>
  <c r="E58" i="23"/>
  <c r="D58" i="23"/>
  <c r="B58" i="23"/>
  <c r="A58" i="23"/>
  <c r="B54" i="23" a="1"/>
  <c r="B50" i="23" a="1"/>
  <c r="B44" i="23"/>
  <c r="B38" i="23"/>
  <c r="F37" i="23" a="1"/>
  <c r="F36" i="23" a="1"/>
  <c r="F35" i="23" a="1"/>
  <c r="F34" i="23" a="1"/>
  <c r="F33" i="23" a="1"/>
  <c r="F32" i="23" a="1"/>
  <c r="F31" i="23" a="1"/>
  <c r="F30" i="23" a="1"/>
  <c r="F29" i="23" a="1"/>
  <c r="F28" i="23" a="1"/>
  <c r="F27" i="23" a="1"/>
  <c r="F26" i="23" a="1"/>
  <c r="F25" i="23" a="1"/>
  <c r="F24" i="23" a="1"/>
  <c r="F23" i="23" a="1"/>
  <c r="B20" i="23"/>
  <c r="D17" i="23" a="1"/>
  <c r="D16" i="23" a="1"/>
  <c r="D15" i="23" a="1"/>
  <c r="D14" i="23" a="1"/>
  <c r="D13" i="23" a="1"/>
  <c r="D12" i="23" a="1"/>
  <c r="D11" i="23" a="1"/>
  <c r="D10" i="23" a="1"/>
  <c r="D9" i="23" a="1"/>
  <c r="D8" i="23" a="1"/>
  <c r="D7" i="23" a="1"/>
  <c r="D6" i="23" a="1"/>
  <c r="D5" i="23" a="1"/>
  <c r="D18" i="23" s="1"/>
  <c r="I2" i="23"/>
  <c r="K58" i="22"/>
  <c r="H58" i="22"/>
  <c r="E58" i="22"/>
  <c r="D58" i="22"/>
  <c r="B58" i="22"/>
  <c r="A58" i="22"/>
  <c r="B54" i="22" a="1"/>
  <c r="B50" i="22" a="1"/>
  <c r="B44" i="22"/>
  <c r="B38" i="22"/>
  <c r="F37" i="22" a="1"/>
  <c r="F36" i="22" a="1"/>
  <c r="F35" i="22" a="1"/>
  <c r="F34" i="22" a="1"/>
  <c r="F33" i="22" a="1"/>
  <c r="F32" i="22" a="1"/>
  <c r="F31" i="22" a="1"/>
  <c r="F30" i="22" a="1"/>
  <c r="F29" i="22" a="1"/>
  <c r="F28" i="22" a="1"/>
  <c r="F27" i="22" a="1"/>
  <c r="F26" i="22" a="1"/>
  <c r="F25" i="22" a="1"/>
  <c r="F24" i="22" a="1"/>
  <c r="F23" i="22" a="1"/>
  <c r="B20" i="22"/>
  <c r="D17" i="22" a="1"/>
  <c r="D16" i="22" a="1"/>
  <c r="D15" i="22" a="1"/>
  <c r="D14" i="22" a="1"/>
  <c r="D13" i="22" a="1"/>
  <c r="D12" i="22" a="1"/>
  <c r="D11" i="22" a="1"/>
  <c r="D10" i="22" a="1"/>
  <c r="D9" i="22" a="1"/>
  <c r="D8" i="22" a="1"/>
  <c r="D7" i="22" a="1"/>
  <c r="D6" i="22" a="1"/>
  <c r="D5" i="22" a="1"/>
  <c r="D18" i="22" s="1"/>
  <c r="I2" i="22"/>
  <c r="K58" i="21"/>
  <c r="H58" i="21"/>
  <c r="E58" i="21"/>
  <c r="D58" i="21"/>
  <c r="B58" i="21"/>
  <c r="A58" i="21"/>
  <c r="B54" i="21" a="1"/>
  <c r="B50" i="21" a="1"/>
  <c r="B44" i="21"/>
  <c r="B38" i="21"/>
  <c r="F37" i="21" a="1"/>
  <c r="F36" i="21" a="1"/>
  <c r="F35" i="21" a="1"/>
  <c r="F34" i="21" a="1"/>
  <c r="F33" i="21" a="1"/>
  <c r="F32" i="21" a="1"/>
  <c r="F31" i="21" a="1"/>
  <c r="F30" i="21" a="1"/>
  <c r="F29" i="21" a="1"/>
  <c r="F28" i="21" a="1"/>
  <c r="F27" i="21" a="1"/>
  <c r="F26" i="21" a="1"/>
  <c r="F25" i="21" a="1"/>
  <c r="F24" i="21" a="1"/>
  <c r="F23" i="21" a="1"/>
  <c r="B20" i="21"/>
  <c r="D17" i="21" a="1"/>
  <c r="D16" i="21" a="1"/>
  <c r="D15" i="21" a="1"/>
  <c r="D14" i="21" a="1"/>
  <c r="D13" i="21" a="1"/>
  <c r="D12" i="21" a="1"/>
  <c r="D11" i="21" a="1"/>
  <c r="D10" i="21" a="1"/>
  <c r="D9" i="21" a="1"/>
  <c r="D8" i="21" a="1"/>
  <c r="D7" i="21" a="1"/>
  <c r="D6" i="21" a="1"/>
  <c r="D5" i="21" a="1"/>
  <c r="D18" i="21" s="1"/>
  <c r="I2" i="21"/>
  <c r="K58" i="20"/>
  <c r="H58" i="20"/>
  <c r="E58" i="20"/>
  <c r="D58" i="20"/>
  <c r="B58" i="20"/>
  <c r="A58" i="20"/>
  <c r="B54" i="20" a="1"/>
  <c r="B50" i="20" a="1"/>
  <c r="B44" i="20"/>
  <c r="B38" i="20"/>
  <c r="F37" i="20" a="1"/>
  <c r="F36" i="20" a="1"/>
  <c r="F35" i="20" a="1"/>
  <c r="F34" i="20" a="1"/>
  <c r="F33" i="20" a="1"/>
  <c r="F32" i="20" a="1"/>
  <c r="F31" i="20" a="1"/>
  <c r="F30" i="20" a="1"/>
  <c r="F29" i="20" a="1"/>
  <c r="F28" i="20" a="1"/>
  <c r="F27" i="20" a="1"/>
  <c r="F26" i="20" a="1"/>
  <c r="F25" i="20" a="1"/>
  <c r="F24" i="20" a="1"/>
  <c r="F23" i="20" a="1"/>
  <c r="B20" i="20"/>
  <c r="D17" i="20" a="1"/>
  <c r="D16" i="20" a="1"/>
  <c r="D15" i="20" a="1"/>
  <c r="D14" i="20" a="1"/>
  <c r="D13" i="20" a="1"/>
  <c r="D12" i="20" a="1"/>
  <c r="D11" i="20" a="1"/>
  <c r="D10" i="20" a="1"/>
  <c r="D9" i="20" a="1"/>
  <c r="D8" i="20" a="1"/>
  <c r="D7" i="20" a="1"/>
  <c r="D6" i="20" a="1"/>
  <c r="D5" i="20" a="1"/>
  <c r="I2" i="20"/>
  <c r="K58" i="19"/>
  <c r="H58" i="19"/>
  <c r="E58" i="19"/>
  <c r="D58" i="19"/>
  <c r="B58" i="19"/>
  <c r="A58" i="19"/>
  <c r="B54" i="19" a="1"/>
  <c r="B50" i="19" a="1"/>
  <c r="B44" i="19"/>
  <c r="B38" i="19"/>
  <c r="F37" i="19" a="1"/>
  <c r="F36" i="19" a="1"/>
  <c r="F35" i="19" a="1"/>
  <c r="F34" i="19" a="1"/>
  <c r="F33" i="19" a="1"/>
  <c r="F32" i="19" a="1"/>
  <c r="F31" i="19" a="1"/>
  <c r="F30" i="19" a="1"/>
  <c r="F29" i="19" a="1"/>
  <c r="F28" i="19" a="1"/>
  <c r="F27" i="19" a="1"/>
  <c r="F26" i="19" a="1"/>
  <c r="F25" i="19" a="1"/>
  <c r="F24" i="19" a="1"/>
  <c r="F23" i="19" a="1"/>
  <c r="B20" i="19"/>
  <c r="D17" i="19" a="1"/>
  <c r="D16" i="19" a="1"/>
  <c r="D15" i="19" a="1"/>
  <c r="D14" i="19" a="1"/>
  <c r="D13" i="19" a="1"/>
  <c r="D12" i="19" a="1"/>
  <c r="D11" i="19" a="1"/>
  <c r="D10" i="19" a="1"/>
  <c r="D9" i="19" a="1"/>
  <c r="D8" i="19" a="1"/>
  <c r="D7" i="19" a="1"/>
  <c r="D6" i="19" a="1"/>
  <c r="D5" i="19" a="1"/>
  <c r="I2" i="19"/>
  <c r="T16" i="3"/>
  <c r="T15" i="3"/>
  <c r="T14" i="3"/>
  <c r="S16" i="3"/>
  <c r="S15" i="3"/>
  <c r="S14" i="3"/>
  <c r="K58" i="17"/>
  <c r="H58" i="17"/>
  <c r="E58" i="17"/>
  <c r="D58" i="17"/>
  <c r="B58" i="17"/>
  <c r="A58" i="17"/>
  <c r="B54" i="17" a="1"/>
  <c r="B50" i="17" a="1"/>
  <c r="B44" i="17"/>
  <c r="B38" i="17"/>
  <c r="F37" i="17" a="1"/>
  <c r="F36" i="17" a="1"/>
  <c r="F35" i="17" a="1"/>
  <c r="F34" i="17" a="1"/>
  <c r="F33" i="17" a="1"/>
  <c r="F32" i="17" a="1"/>
  <c r="F31" i="17" a="1"/>
  <c r="F30" i="17" a="1"/>
  <c r="F29" i="17" a="1"/>
  <c r="F28" i="17" a="1"/>
  <c r="F27" i="17" a="1"/>
  <c r="F26" i="17" a="1"/>
  <c r="F25" i="17" a="1"/>
  <c r="F24" i="17" a="1"/>
  <c r="F23" i="17" a="1"/>
  <c r="B20" i="17"/>
  <c r="D17" i="17" a="1"/>
  <c r="D16" i="17" a="1"/>
  <c r="D15" i="17" a="1"/>
  <c r="D14" i="17" a="1"/>
  <c r="D13" i="17" a="1"/>
  <c r="D12" i="17" a="1"/>
  <c r="D11" i="17" a="1"/>
  <c r="D10" i="17" a="1"/>
  <c r="D9" i="17" a="1"/>
  <c r="D8" i="17" a="1"/>
  <c r="D7" i="17" a="1"/>
  <c r="D6" i="17" a="1"/>
  <c r="D5" i="17" a="1"/>
  <c r="I2" i="17"/>
  <c r="K58" i="16"/>
  <c r="H58" i="16"/>
  <c r="E58" i="16"/>
  <c r="D58" i="16"/>
  <c r="B58" i="16"/>
  <c r="A58" i="16"/>
  <c r="B54" i="16" a="1"/>
  <c r="B50" i="16" a="1"/>
  <c r="B44" i="16"/>
  <c r="B38" i="16"/>
  <c r="F37" i="16" a="1"/>
  <c r="F36" i="16" a="1"/>
  <c r="F35" i="16" a="1"/>
  <c r="F34" i="16" a="1"/>
  <c r="F33" i="16" a="1"/>
  <c r="F32" i="16" a="1"/>
  <c r="F31" i="16" a="1"/>
  <c r="F30" i="16" a="1"/>
  <c r="F29" i="16" a="1"/>
  <c r="F28" i="16" a="1"/>
  <c r="F27" i="16" a="1"/>
  <c r="F26" i="16" a="1"/>
  <c r="F25" i="16" a="1"/>
  <c r="F24" i="16" a="1"/>
  <c r="F23" i="16" a="1"/>
  <c r="B20" i="16"/>
  <c r="D17" i="16" a="1"/>
  <c r="D16" i="16" a="1"/>
  <c r="D15" i="16" a="1"/>
  <c r="D14" i="16" a="1"/>
  <c r="D13" i="16" a="1"/>
  <c r="D12" i="16" a="1"/>
  <c r="D11" i="16" a="1"/>
  <c r="D10" i="16" a="1"/>
  <c r="D9" i="16" a="1"/>
  <c r="D8" i="16" a="1"/>
  <c r="D7" i="16" a="1"/>
  <c r="D6" i="16" a="1"/>
  <c r="D5" i="16" a="1"/>
  <c r="D18" i="16" s="1"/>
  <c r="I2" i="16"/>
  <c r="K58" i="15"/>
  <c r="H58" i="15"/>
  <c r="E58" i="15"/>
  <c r="D58" i="15"/>
  <c r="B58" i="15"/>
  <c r="A58" i="15"/>
  <c r="B54" i="15" a="1"/>
  <c r="B50" i="15" a="1"/>
  <c r="B44" i="15"/>
  <c r="B38" i="15"/>
  <c r="F37" i="15" a="1"/>
  <c r="F36" i="15" a="1"/>
  <c r="F35" i="15" a="1"/>
  <c r="F34" i="15" a="1"/>
  <c r="F33" i="15" a="1"/>
  <c r="F32" i="15" a="1"/>
  <c r="F31" i="15" a="1"/>
  <c r="F30" i="15" a="1"/>
  <c r="F29" i="15" a="1"/>
  <c r="F28" i="15" a="1"/>
  <c r="F27" i="15" a="1"/>
  <c r="F26" i="15" a="1"/>
  <c r="F25" i="15" a="1"/>
  <c r="F24" i="15" a="1"/>
  <c r="F23" i="15" a="1"/>
  <c r="B20" i="15"/>
  <c r="D17" i="15" a="1"/>
  <c r="D16" i="15" a="1"/>
  <c r="D15" i="15" a="1"/>
  <c r="D14" i="15" a="1"/>
  <c r="D13" i="15" a="1"/>
  <c r="D12" i="15" a="1"/>
  <c r="D11" i="15" a="1"/>
  <c r="D10" i="15" a="1"/>
  <c r="D9" i="15" a="1"/>
  <c r="D8" i="15" a="1"/>
  <c r="D7" i="15" a="1"/>
  <c r="D6" i="15" a="1"/>
  <c r="D5" i="15" a="1"/>
  <c r="D18" i="15" s="1"/>
  <c r="I2" i="15"/>
  <c r="T13" i="3"/>
  <c r="S13" i="3"/>
  <c r="T12" i="3"/>
  <c r="S12" i="3"/>
  <c r="T11" i="3"/>
  <c r="S11" i="3"/>
  <c r="K58" i="14"/>
  <c r="H58" i="14"/>
  <c r="E58" i="14"/>
  <c r="D58" i="14"/>
  <c r="B58" i="14"/>
  <c r="A58" i="14"/>
  <c r="B54" i="14" a="1"/>
  <c r="B50" i="14" a="1"/>
  <c r="B44" i="14"/>
  <c r="B38" i="14"/>
  <c r="F37" i="14" a="1"/>
  <c r="F36" i="14" a="1"/>
  <c r="F35" i="14" a="1"/>
  <c r="F34" i="14" a="1"/>
  <c r="F33" i="14" a="1"/>
  <c r="F32" i="14" a="1"/>
  <c r="F31" i="14" a="1"/>
  <c r="F30" i="14" a="1"/>
  <c r="F29" i="14" a="1"/>
  <c r="F28" i="14" a="1"/>
  <c r="F27" i="14" a="1"/>
  <c r="F26" i="14" a="1"/>
  <c r="F25" i="14" a="1"/>
  <c r="F24" i="14" a="1"/>
  <c r="F23" i="14" a="1"/>
  <c r="B20" i="14"/>
  <c r="D17" i="14" a="1"/>
  <c r="D16" i="14" a="1"/>
  <c r="D15" i="14" a="1"/>
  <c r="D14" i="14" a="1"/>
  <c r="D13" i="14" a="1"/>
  <c r="D12" i="14" a="1"/>
  <c r="D11" i="14" a="1"/>
  <c r="D10" i="14" a="1"/>
  <c r="D9" i="14" a="1"/>
  <c r="D8" i="14" a="1"/>
  <c r="D7" i="14" a="1"/>
  <c r="D6" i="14" a="1"/>
  <c r="D5" i="14" a="1"/>
  <c r="I2" i="14"/>
  <c r="K58" i="13"/>
  <c r="H58" i="13"/>
  <c r="E58" i="13"/>
  <c r="D58" i="13"/>
  <c r="B58" i="13"/>
  <c r="A58" i="13"/>
  <c r="B54" i="13" a="1"/>
  <c r="B50" i="13" a="1"/>
  <c r="B44" i="13"/>
  <c r="B38" i="13"/>
  <c r="F37" i="13" a="1"/>
  <c r="F36" i="13" a="1"/>
  <c r="F35" i="13" a="1"/>
  <c r="F34" i="13" a="1"/>
  <c r="F33" i="13" a="1"/>
  <c r="F32" i="13" a="1"/>
  <c r="F31" i="13" a="1"/>
  <c r="F30" i="13" a="1"/>
  <c r="F29" i="13" a="1"/>
  <c r="F28" i="13" a="1"/>
  <c r="F27" i="13" a="1"/>
  <c r="F26" i="13" a="1"/>
  <c r="F25" i="13" a="1"/>
  <c r="F24" i="13" a="1"/>
  <c r="F23" i="13" a="1"/>
  <c r="B20" i="13"/>
  <c r="D17" i="13" a="1"/>
  <c r="D16" i="13" a="1"/>
  <c r="D15" i="13" a="1"/>
  <c r="D14" i="13" a="1"/>
  <c r="D13" i="13" a="1"/>
  <c r="D12" i="13" a="1"/>
  <c r="D11" i="13" a="1"/>
  <c r="D10" i="13" a="1"/>
  <c r="D9" i="13" a="1"/>
  <c r="D8" i="13" a="1"/>
  <c r="D7" i="13" a="1"/>
  <c r="D6" i="13" a="1"/>
  <c r="D5" i="13" a="1"/>
  <c r="D18" i="13" s="1"/>
  <c r="I2" i="13"/>
  <c r="K58" i="12"/>
  <c r="H58" i="12"/>
  <c r="E58" i="12"/>
  <c r="D58" i="12"/>
  <c r="B58" i="12"/>
  <c r="A58" i="12"/>
  <c r="B54" i="12" a="1"/>
  <c r="B50" i="12" a="1"/>
  <c r="B44" i="12"/>
  <c r="B38" i="12"/>
  <c r="F37" i="12" a="1"/>
  <c r="F36" i="12" a="1"/>
  <c r="F35" i="12" a="1"/>
  <c r="F34" i="12" a="1"/>
  <c r="F33" i="12" a="1"/>
  <c r="F32" i="12" a="1"/>
  <c r="F31" i="12" a="1"/>
  <c r="F30" i="12" a="1"/>
  <c r="F29" i="12" a="1"/>
  <c r="F28" i="12" a="1"/>
  <c r="F27" i="12" a="1"/>
  <c r="F26" i="12" a="1"/>
  <c r="F25" i="12" a="1"/>
  <c r="F24" i="12" a="1"/>
  <c r="F23" i="12" a="1"/>
  <c r="B20" i="12"/>
  <c r="D17" i="12" a="1"/>
  <c r="D16" i="12" a="1"/>
  <c r="D15" i="12" a="1"/>
  <c r="D14" i="12" a="1"/>
  <c r="D13" i="12" a="1"/>
  <c r="D12" i="12" a="1"/>
  <c r="D11" i="12" a="1"/>
  <c r="D10" i="12" a="1"/>
  <c r="D9" i="12" a="1"/>
  <c r="D8" i="12" a="1"/>
  <c r="D7" i="12" a="1"/>
  <c r="D6" i="12" a="1"/>
  <c r="D5" i="12" a="1"/>
  <c r="D18" i="12" s="1"/>
  <c r="I2" i="12"/>
  <c r="S10" i="3"/>
  <c r="T10" i="3"/>
  <c r="K58" i="11"/>
  <c r="H58" i="11"/>
  <c r="E58" i="11"/>
  <c r="D58" i="11"/>
  <c r="B58" i="11"/>
  <c r="A58" i="11"/>
  <c r="B54" i="11" a="1"/>
  <c r="B50" i="11" a="1"/>
  <c r="B44" i="11"/>
  <c r="B38" i="11"/>
  <c r="F37" i="11" a="1"/>
  <c r="F36" i="11" a="1"/>
  <c r="F35" i="11" a="1"/>
  <c r="F34" i="11" a="1"/>
  <c r="F33" i="11" a="1"/>
  <c r="F32" i="11" a="1"/>
  <c r="F31" i="11" a="1"/>
  <c r="F30" i="11" a="1"/>
  <c r="F29" i="11" a="1"/>
  <c r="F28" i="11" a="1"/>
  <c r="F27" i="11" a="1"/>
  <c r="F26" i="11" a="1"/>
  <c r="F25" i="11" a="1"/>
  <c r="F24" i="11" a="1"/>
  <c r="F23" i="11" a="1"/>
  <c r="B20" i="11"/>
  <c r="D17" i="11" a="1"/>
  <c r="D16" i="11" a="1"/>
  <c r="D15" i="11" a="1"/>
  <c r="D14" i="11" a="1"/>
  <c r="D13" i="11" a="1"/>
  <c r="D12" i="11" a="1"/>
  <c r="D11" i="11" a="1"/>
  <c r="D10" i="11" a="1"/>
  <c r="D9" i="11" a="1"/>
  <c r="D8" i="11" a="1"/>
  <c r="D7" i="11" a="1"/>
  <c r="D6" i="11" a="1"/>
  <c r="D5" i="11" a="1"/>
  <c r="D18" i="11" s="1"/>
  <c r="I2" i="11"/>
  <c r="T9" i="3"/>
  <c r="S9" i="3"/>
  <c r="K58" i="10"/>
  <c r="H58" i="10"/>
  <c r="E58" i="10"/>
  <c r="D58" i="10"/>
  <c r="B58" i="10"/>
  <c r="A58" i="10"/>
  <c r="B54" i="10" a="1"/>
  <c r="B50" i="10" a="1"/>
  <c r="B44" i="10"/>
  <c r="B38" i="10"/>
  <c r="F37" i="10" a="1"/>
  <c r="F36" i="10" a="1"/>
  <c r="F35" i="10" a="1"/>
  <c r="F34" i="10" a="1"/>
  <c r="F33" i="10" a="1"/>
  <c r="F32" i="10" a="1"/>
  <c r="F31" i="10" a="1"/>
  <c r="F30" i="10" a="1"/>
  <c r="F29" i="10" a="1"/>
  <c r="F28" i="10" a="1"/>
  <c r="F27" i="10" a="1"/>
  <c r="F26" i="10" a="1"/>
  <c r="F25" i="10" a="1"/>
  <c r="F24" i="10" a="1"/>
  <c r="F23" i="10" a="1"/>
  <c r="B20" i="10"/>
  <c r="D17" i="10" a="1"/>
  <c r="D16" i="10" a="1"/>
  <c r="D15" i="10" a="1"/>
  <c r="D14" i="10" a="1"/>
  <c r="D13" i="10" a="1"/>
  <c r="D12" i="10" a="1"/>
  <c r="D11" i="10" a="1"/>
  <c r="D10" i="10" a="1"/>
  <c r="D9" i="10" a="1"/>
  <c r="D8" i="10" a="1"/>
  <c r="D7" i="10" a="1"/>
  <c r="D6" i="10" a="1"/>
  <c r="D5" i="10" a="1"/>
  <c r="D18" i="10" s="1"/>
  <c r="I2" i="10"/>
  <c r="K58" i="9"/>
  <c r="H58" i="9"/>
  <c r="E58" i="9"/>
  <c r="D58" i="9"/>
  <c r="B58" i="9"/>
  <c r="A58" i="9"/>
  <c r="B54" i="9" a="1"/>
  <c r="B50" i="9" a="1"/>
  <c r="B44" i="9"/>
  <c r="B38" i="9"/>
  <c r="F37" i="9" a="1"/>
  <c r="F36" i="9" a="1"/>
  <c r="F35" i="9" a="1"/>
  <c r="F34" i="9" a="1"/>
  <c r="F33" i="9" a="1"/>
  <c r="F32" i="9" a="1"/>
  <c r="F31" i="9" a="1"/>
  <c r="F30" i="9" a="1"/>
  <c r="F29" i="9" a="1"/>
  <c r="F28" i="9" a="1"/>
  <c r="F27" i="9" a="1"/>
  <c r="F26" i="9" a="1"/>
  <c r="F25" i="9" a="1"/>
  <c r="F24" i="9" a="1"/>
  <c r="F23" i="9" a="1"/>
  <c r="B20" i="9"/>
  <c r="D17" i="9" a="1"/>
  <c r="D16" i="9" a="1"/>
  <c r="D15" i="9" a="1"/>
  <c r="D14" i="9" a="1"/>
  <c r="D13" i="9" a="1"/>
  <c r="D12" i="9" a="1"/>
  <c r="D11" i="9" a="1"/>
  <c r="D10" i="9" a="1"/>
  <c r="D9" i="9" a="1"/>
  <c r="D8" i="9" a="1"/>
  <c r="D7" i="9" a="1"/>
  <c r="D6" i="9" a="1"/>
  <c r="D5" i="9" a="1"/>
  <c r="D18" i="9" s="1"/>
  <c r="I2" i="9"/>
  <c r="K58" i="8"/>
  <c r="H58" i="8"/>
  <c r="E58" i="8"/>
  <c r="D58" i="8"/>
  <c r="B58" i="8"/>
  <c r="A58" i="8"/>
  <c r="B54" i="8" a="1"/>
  <c r="B50" i="8" a="1"/>
  <c r="B44" i="8"/>
  <c r="B38" i="8"/>
  <c r="F37" i="8" a="1"/>
  <c r="F36" i="8" a="1"/>
  <c r="F35" i="8" a="1"/>
  <c r="F34" i="8" a="1"/>
  <c r="F33" i="8" a="1"/>
  <c r="F32" i="8" a="1"/>
  <c r="F31" i="8" a="1"/>
  <c r="F30" i="8" a="1"/>
  <c r="F29" i="8" a="1"/>
  <c r="F28" i="8" a="1"/>
  <c r="F27" i="8" a="1"/>
  <c r="F26" i="8" a="1"/>
  <c r="F25" i="8" a="1"/>
  <c r="F24" i="8" a="1"/>
  <c r="F23" i="8" a="1"/>
  <c r="B20" i="8"/>
  <c r="D17" i="8" a="1"/>
  <c r="D16" i="8" a="1"/>
  <c r="D15" i="8" a="1"/>
  <c r="D14" i="8" a="1"/>
  <c r="D13" i="8" a="1"/>
  <c r="D12" i="8" a="1"/>
  <c r="D11" i="8" a="1"/>
  <c r="D10" i="8" a="1"/>
  <c r="D9" i="8" a="1"/>
  <c r="D8" i="8" a="1"/>
  <c r="D7" i="8" a="1"/>
  <c r="D6" i="8" a="1"/>
  <c r="D5" i="8" a="1"/>
  <c r="I2" i="8"/>
  <c r="F18" i="5"/>
  <c r="S8" i="3"/>
  <c r="S7" i="3"/>
  <c r="T7" i="3" s="1"/>
  <c r="T8" i="3" s="1"/>
  <c r="S6" i="3"/>
  <c r="S5" i="3"/>
  <c r="T5" i="3" s="1"/>
  <c r="T6" i="3" s="1"/>
  <c r="S4" i="3"/>
  <c r="T4" i="3" s="1"/>
  <c r="T3" i="3"/>
  <c r="S3" i="3"/>
  <c r="K58" i="7"/>
  <c r="H58" i="7"/>
  <c r="E58" i="7"/>
  <c r="D58" i="7"/>
  <c r="B58" i="7"/>
  <c r="A58" i="7"/>
  <c r="B54" i="7" a="1"/>
  <c r="B50" i="7" a="1"/>
  <c r="B47" i="7"/>
  <c r="A47" i="7" s="1"/>
  <c r="B44" i="7"/>
  <c r="B38" i="7"/>
  <c r="F37" i="7" a="1"/>
  <c r="F36" i="7" a="1"/>
  <c r="F35" i="7" a="1"/>
  <c r="F34" i="7" a="1"/>
  <c r="F33" i="7" a="1"/>
  <c r="F32" i="7" a="1"/>
  <c r="F31" i="7" a="1"/>
  <c r="F30" i="7" a="1"/>
  <c r="F29" i="7" a="1"/>
  <c r="F28" i="7" a="1"/>
  <c r="F27" i="7" a="1"/>
  <c r="F26" i="7" a="1"/>
  <c r="F25" i="7" a="1"/>
  <c r="F24" i="7" a="1"/>
  <c r="F23" i="7" a="1"/>
  <c r="B20" i="7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17" i="7" a="1"/>
  <c r="D16" i="7" a="1"/>
  <c r="D15" i="7" a="1"/>
  <c r="D14" i="7" a="1"/>
  <c r="D13" i="7" a="1"/>
  <c r="D12" i="7" a="1"/>
  <c r="D11" i="7" a="1"/>
  <c r="D10" i="7" a="1"/>
  <c r="D9" i="7" a="1"/>
  <c r="D8" i="7" a="1"/>
  <c r="D7" i="7" a="1"/>
  <c r="D6" i="7" a="1"/>
  <c r="D5" i="7" a="1"/>
  <c r="D18" i="7" s="1"/>
  <c r="I2" i="7"/>
  <c r="K58" i="6"/>
  <c r="H58" i="6"/>
  <c r="E58" i="6"/>
  <c r="D58" i="6"/>
  <c r="B58" i="6"/>
  <c r="A58" i="6"/>
  <c r="B54" i="6" a="1"/>
  <c r="B50" i="6" a="1"/>
  <c r="B44" i="6"/>
  <c r="B38" i="6"/>
  <c r="F37" i="6" a="1"/>
  <c r="F36" i="6" a="1"/>
  <c r="F35" i="6" a="1"/>
  <c r="F34" i="6" a="1"/>
  <c r="F33" i="6" a="1"/>
  <c r="F32" i="6" a="1"/>
  <c r="F31" i="6" a="1"/>
  <c r="F30" i="6" a="1"/>
  <c r="F29" i="6" a="1"/>
  <c r="F28" i="6" a="1"/>
  <c r="F27" i="6" a="1"/>
  <c r="F26" i="6" a="1"/>
  <c r="F25" i="6" a="1"/>
  <c r="F24" i="6" a="1"/>
  <c r="F23" i="6" a="1"/>
  <c r="B20" i="6"/>
  <c r="D23" i="6" s="1"/>
  <c r="D24" i="6" s="1"/>
  <c r="D25" i="6" s="1"/>
  <c r="D26" i="6" s="1"/>
  <c r="D27" i="6" s="1"/>
  <c r="D28" i="6" s="1"/>
  <c r="D29" i="6" s="1"/>
  <c r="D30" i="6" s="1"/>
  <c r="D31" i="6" s="1"/>
  <c r="D32" i="6" s="1"/>
  <c r="D33" i="6" s="1"/>
  <c r="D34" i="6" s="1"/>
  <c r="D35" i="6" s="1"/>
  <c r="D36" i="6" s="1"/>
  <c r="D37" i="6" s="1"/>
  <c r="D38" i="6" s="1"/>
  <c r="D39" i="6" s="1"/>
  <c r="D17" i="6" a="1"/>
  <c r="D16" i="6" a="1"/>
  <c r="D15" i="6" a="1"/>
  <c r="D14" i="6" a="1"/>
  <c r="D13" i="6" a="1"/>
  <c r="D12" i="6" a="1"/>
  <c r="D11" i="6" a="1"/>
  <c r="D10" i="6" a="1"/>
  <c r="D9" i="6" a="1"/>
  <c r="D8" i="6" a="1"/>
  <c r="D7" i="6" a="1"/>
  <c r="D6" i="6" a="1"/>
  <c r="D5" i="6" a="1"/>
  <c r="I2" i="6"/>
  <c r="K58" i="5"/>
  <c r="H58" i="5"/>
  <c r="E58" i="5"/>
  <c r="D58" i="5"/>
  <c r="B58" i="5"/>
  <c r="A58" i="5"/>
  <c r="B54" i="5" a="1"/>
  <c r="B50" i="5" a="1"/>
  <c r="B44" i="5"/>
  <c r="B38" i="5"/>
  <c r="F37" i="5" a="1"/>
  <c r="F36" i="5" a="1"/>
  <c r="F35" i="5" a="1"/>
  <c r="F34" i="5" a="1"/>
  <c r="F33" i="5" a="1"/>
  <c r="F32" i="5" a="1"/>
  <c r="F31" i="5" a="1"/>
  <c r="F30" i="5" a="1"/>
  <c r="F29" i="5" a="1"/>
  <c r="F28" i="5" a="1"/>
  <c r="F27" i="5" a="1"/>
  <c r="F26" i="5" a="1"/>
  <c r="F25" i="5" a="1"/>
  <c r="F24" i="5" a="1"/>
  <c r="F23" i="5" a="1"/>
  <c r="B20" i="5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17" i="5" a="1"/>
  <c r="D16" i="5" a="1"/>
  <c r="D15" i="5" a="1"/>
  <c r="D14" i="5" a="1"/>
  <c r="D13" i="5" a="1"/>
  <c r="D12" i="5" a="1"/>
  <c r="D11" i="5" a="1"/>
  <c r="D10" i="5" a="1"/>
  <c r="D9" i="5" a="1"/>
  <c r="D8" i="5" a="1"/>
  <c r="D7" i="5" a="1"/>
  <c r="D6" i="5" a="1"/>
  <c r="D5" i="5" a="1"/>
  <c r="I2" i="5"/>
  <c r="K58" i="4"/>
  <c r="H58" i="4"/>
  <c r="E58" i="4"/>
  <c r="D58" i="4"/>
  <c r="B58" i="4"/>
  <c r="A58" i="4"/>
  <c r="B54" i="4" a="1"/>
  <c r="B50" i="4" a="1"/>
  <c r="B44" i="4"/>
  <c r="B38" i="4"/>
  <c r="F37" i="4" a="1"/>
  <c r="F36" i="4" a="1"/>
  <c r="F35" i="4" a="1"/>
  <c r="F34" i="4" a="1"/>
  <c r="F33" i="4" a="1"/>
  <c r="F32" i="4" a="1"/>
  <c r="F31" i="4" a="1"/>
  <c r="F30" i="4" a="1"/>
  <c r="F29" i="4" a="1"/>
  <c r="F28" i="4" a="1"/>
  <c r="F27" i="4" a="1"/>
  <c r="F26" i="4" a="1"/>
  <c r="F25" i="4" a="1"/>
  <c r="F24" i="4" a="1"/>
  <c r="F23" i="4" a="1"/>
  <c r="B20" i="4"/>
  <c r="C58" i="4" s="1"/>
  <c r="D17" i="4" a="1"/>
  <c r="D16" i="4" a="1"/>
  <c r="D15" i="4" a="1"/>
  <c r="D14" i="4" a="1"/>
  <c r="D13" i="4" a="1"/>
  <c r="D12" i="4" a="1"/>
  <c r="D11" i="4" a="1"/>
  <c r="D10" i="4" a="1"/>
  <c r="D9" i="4" a="1"/>
  <c r="D8" i="4" a="1"/>
  <c r="D7" i="4" a="1"/>
  <c r="D6" i="4" a="1"/>
  <c r="D5" i="4" a="1"/>
  <c r="I2" i="4"/>
  <c r="N10" i="2"/>
  <c r="N9" i="2"/>
  <c r="N5" i="2"/>
  <c r="N4" i="2"/>
  <c r="N3" i="2"/>
  <c r="K58" i="1"/>
  <c r="H58" i="1"/>
  <c r="C58" i="30" l="1"/>
  <c r="B47" i="30"/>
  <c r="D23" i="30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F38" i="29"/>
  <c r="C41" i="29" s="1"/>
  <c r="F38" i="28"/>
  <c r="C41" i="28" s="1"/>
  <c r="F38" i="26"/>
  <c r="C41" i="26" s="1"/>
  <c r="F38" i="25"/>
  <c r="C41" i="25" s="1"/>
  <c r="D23" i="29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B47" i="29"/>
  <c r="C58" i="29"/>
  <c r="F38" i="27"/>
  <c r="C41" i="27" s="1"/>
  <c r="C58" i="28"/>
  <c r="B47" i="28"/>
  <c r="D23" i="28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36" i="28" s="1"/>
  <c r="D37" i="28" s="1"/>
  <c r="D38" i="28" s="1"/>
  <c r="D39" i="28" s="1"/>
  <c r="C58" i="27"/>
  <c r="B47" i="27"/>
  <c r="D23" i="27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F38" i="23"/>
  <c r="C41" i="23" s="1"/>
  <c r="F38" i="24"/>
  <c r="C41" i="24" s="1"/>
  <c r="F38" i="22"/>
  <c r="C41" i="22" s="1"/>
  <c r="B47" i="26"/>
  <c r="C58" i="26"/>
  <c r="D23" i="26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D36" i="26" s="1"/>
  <c r="D37" i="26" s="1"/>
  <c r="D38" i="26" s="1"/>
  <c r="D39" i="26" s="1"/>
  <c r="B47" i="25"/>
  <c r="D23" i="25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C58" i="25"/>
  <c r="D23" i="24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6" i="24" s="1"/>
  <c r="D37" i="24" s="1"/>
  <c r="D38" i="24" s="1"/>
  <c r="D39" i="24" s="1"/>
  <c r="C58" i="24"/>
  <c r="B47" i="24"/>
  <c r="C58" i="23"/>
  <c r="B47" i="23"/>
  <c r="D23" i="23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B47" i="22"/>
  <c r="D23" i="22"/>
  <c r="D24" i="22" s="1"/>
  <c r="D25" i="22" s="1"/>
  <c r="D26" i="22" s="1"/>
  <c r="D27" i="22" s="1"/>
  <c r="D28" i="22" s="1"/>
  <c r="D29" i="22" s="1"/>
  <c r="D30" i="22" s="1"/>
  <c r="D31" i="22" s="1"/>
  <c r="D32" i="22" s="1"/>
  <c r="D33" i="22" s="1"/>
  <c r="D34" i="22" s="1"/>
  <c r="D35" i="22" s="1"/>
  <c r="D36" i="22" s="1"/>
  <c r="D37" i="22" s="1"/>
  <c r="D38" i="22" s="1"/>
  <c r="D39" i="22" s="1"/>
  <c r="C58" i="22"/>
  <c r="F38" i="21"/>
  <c r="C41" i="21" s="1"/>
  <c r="B47" i="21"/>
  <c r="C58" i="21"/>
  <c r="D23" i="2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18" i="8"/>
  <c r="F38" i="8" s="1"/>
  <c r="C41" i="8" s="1"/>
  <c r="F38" i="15"/>
  <c r="C41" i="15" s="1"/>
  <c r="F38" i="16"/>
  <c r="C41" i="16" s="1"/>
  <c r="C58" i="20"/>
  <c r="B47" i="20"/>
  <c r="D23" i="20"/>
  <c r="D24" i="20" s="1"/>
  <c r="D25" i="20"/>
  <c r="D26" i="20" s="1"/>
  <c r="D27" i="20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23" i="19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18" i="19" s="1"/>
  <c r="F38" i="19" s="1"/>
  <c r="C41" i="19" s="1"/>
  <c r="C58" i="19"/>
  <c r="B47" i="19"/>
  <c r="F38" i="12"/>
  <c r="C41" i="12" s="1"/>
  <c r="F38" i="13"/>
  <c r="C41" i="13" s="1"/>
  <c r="C58" i="17"/>
  <c r="B47" i="17"/>
  <c r="D23" i="17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18" i="17"/>
  <c r="F38" i="17" s="1"/>
  <c r="C41" i="17" s="1"/>
  <c r="C58" i="16"/>
  <c r="B47" i="16"/>
  <c r="D23" i="16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23" i="15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C58" i="15"/>
  <c r="B47" i="15"/>
  <c r="D23" i="14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C58" i="14"/>
  <c r="B47" i="14"/>
  <c r="D18" i="14"/>
  <c r="F38" i="14" s="1"/>
  <c r="C41" i="14" s="1"/>
  <c r="B47" i="13"/>
  <c r="C58" i="13"/>
  <c r="D23" i="13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23" i="12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B47" i="12"/>
  <c r="C58" i="12"/>
  <c r="F38" i="10"/>
  <c r="C41" i="10" s="1"/>
  <c r="F38" i="11"/>
  <c r="C41" i="11" s="1"/>
  <c r="B47" i="11"/>
  <c r="C58" i="11"/>
  <c r="D23" i="1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B47" i="10"/>
  <c r="C58" i="10"/>
  <c r="D23" i="10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F38" i="9"/>
  <c r="C41" i="9" s="1"/>
  <c r="D23" i="9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C58" i="9"/>
  <c r="B47" i="9"/>
  <c r="B47" i="8"/>
  <c r="C58" i="8"/>
  <c r="D23" i="8"/>
  <c r="D24" i="8" s="1"/>
  <c r="D25" i="8" s="1"/>
  <c r="D26" i="8" s="1"/>
  <c r="D27" i="8" s="1"/>
  <c r="D28" i="8" s="1"/>
  <c r="D29" i="8" s="1"/>
  <c r="D30" i="8" s="1"/>
  <c r="D31" i="8" s="1"/>
  <c r="D32" i="8" s="1"/>
  <c r="D33" i="8" s="1"/>
  <c r="D34" i="8" s="1"/>
  <c r="D35" i="8" s="1"/>
  <c r="D36" i="8" s="1"/>
  <c r="D37" i="8" s="1"/>
  <c r="D38" i="8" s="1"/>
  <c r="D39" i="8" s="1"/>
  <c r="F38" i="7"/>
  <c r="C41" i="7" s="1"/>
  <c r="C58" i="7"/>
  <c r="D20" i="7"/>
  <c r="C40" i="7" s="1"/>
  <c r="D40" i="7" s="1"/>
  <c r="A53" i="7"/>
  <c r="A49" i="7"/>
  <c r="F58" i="7"/>
  <c r="G58" i="7" s="1"/>
  <c r="D18" i="6"/>
  <c r="F38" i="6" s="1"/>
  <c r="C41" i="6" s="1"/>
  <c r="C58" i="6"/>
  <c r="B47" i="6"/>
  <c r="D18" i="5"/>
  <c r="F38" i="5" s="1"/>
  <c r="C41" i="5" s="1"/>
  <c r="C58" i="5"/>
  <c r="B47" i="5"/>
  <c r="D18" i="4"/>
  <c r="F38" i="4" s="1"/>
  <c r="C41" i="4" s="1"/>
  <c r="B47" i="4"/>
  <c r="D23" i="4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N6" i="2"/>
  <c r="N11" i="2"/>
  <c r="E58" i="1"/>
  <c r="D58" i="1"/>
  <c r="B58" i="1"/>
  <c r="A58" i="1"/>
  <c r="B54" i="1" a="1"/>
  <c r="B50" i="1" a="1"/>
  <c r="B44" i="1"/>
  <c r="B38" i="1"/>
  <c r="F37" i="1" a="1"/>
  <c r="F36" i="1" a="1"/>
  <c r="F35" i="1" a="1"/>
  <c r="F34" i="1" a="1"/>
  <c r="F33" i="1" a="1"/>
  <c r="F32" i="1" a="1"/>
  <c r="F31" i="1" a="1"/>
  <c r="F30" i="1" a="1"/>
  <c r="F29" i="1" a="1"/>
  <c r="F28" i="1" a="1"/>
  <c r="F27" i="1" a="1"/>
  <c r="F26" i="1" a="1"/>
  <c r="F25" i="1" a="1"/>
  <c r="F24" i="1" a="1"/>
  <c r="F23" i="1" a="1"/>
  <c r="B20" i="1"/>
  <c r="D17" i="1" a="1"/>
  <c r="D16" i="1" a="1"/>
  <c r="D15" i="1" a="1"/>
  <c r="D14" i="1" a="1"/>
  <c r="D13" i="1" a="1"/>
  <c r="D12" i="1" a="1"/>
  <c r="D11" i="1" a="1"/>
  <c r="D10" i="1" a="1"/>
  <c r="D9" i="1" a="1"/>
  <c r="D8" i="1" a="1"/>
  <c r="D7" i="1" a="1"/>
  <c r="D6" i="1" a="1"/>
  <c r="D5" i="1" a="1"/>
  <c r="I2" i="1"/>
  <c r="F58" i="30" l="1"/>
  <c r="G58" i="30" s="1"/>
  <c r="A47" i="30"/>
  <c r="F58" i="29"/>
  <c r="G58" i="29" s="1"/>
  <c r="A47" i="29"/>
  <c r="F58" i="28"/>
  <c r="G58" i="28" s="1"/>
  <c r="A47" i="28"/>
  <c r="F58" i="27"/>
  <c r="G58" i="27" s="1"/>
  <c r="A47" i="27"/>
  <c r="F58" i="26"/>
  <c r="G58" i="26" s="1"/>
  <c r="A47" i="26"/>
  <c r="F58" i="25"/>
  <c r="G58" i="25" s="1"/>
  <c r="A47" i="25"/>
  <c r="F58" i="24"/>
  <c r="G58" i="24" s="1"/>
  <c r="A47" i="24"/>
  <c r="F58" i="23"/>
  <c r="G58" i="23" s="1"/>
  <c r="A47" i="23"/>
  <c r="F58" i="22"/>
  <c r="G58" i="22" s="1"/>
  <c r="A47" i="22"/>
  <c r="F58" i="21"/>
  <c r="G58" i="21" s="1"/>
  <c r="A47" i="21"/>
  <c r="A47" i="20"/>
  <c r="F58" i="20"/>
  <c r="G58" i="20" s="1"/>
  <c r="D18" i="20"/>
  <c r="F38" i="20" s="1"/>
  <c r="C41" i="20" s="1"/>
  <c r="F58" i="19"/>
  <c r="G58" i="19" s="1"/>
  <c r="A47" i="19"/>
  <c r="F58" i="17"/>
  <c r="G58" i="17" s="1"/>
  <c r="A47" i="17"/>
  <c r="A47" i="16"/>
  <c r="F58" i="16"/>
  <c r="G58" i="16" s="1"/>
  <c r="A47" i="15"/>
  <c r="F58" i="15"/>
  <c r="G58" i="15" s="1"/>
  <c r="F58" i="14"/>
  <c r="G58" i="14" s="1"/>
  <c r="A47" i="14"/>
  <c r="F58" i="13"/>
  <c r="G58" i="13" s="1"/>
  <c r="A47" i="13"/>
  <c r="F58" i="12"/>
  <c r="G58" i="12" s="1"/>
  <c r="A47" i="12"/>
  <c r="F58" i="11"/>
  <c r="G58" i="11" s="1"/>
  <c r="A47" i="11"/>
  <c r="F58" i="10"/>
  <c r="G58" i="10" s="1"/>
  <c r="A47" i="10"/>
  <c r="F58" i="9"/>
  <c r="G58" i="9" s="1"/>
  <c r="A47" i="9"/>
  <c r="F58" i="8"/>
  <c r="G58" i="8" s="1"/>
  <c r="A47" i="8"/>
  <c r="B47" i="1"/>
  <c r="C58" i="1"/>
  <c r="D23" i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1" i="7"/>
  <c r="B51" i="7" s="1"/>
  <c r="B55" i="7" s="1"/>
  <c r="J58" i="7" s="1"/>
  <c r="A47" i="6"/>
  <c r="F58" i="6"/>
  <c r="G58" i="6" s="1"/>
  <c r="A47" i="5"/>
  <c r="F58" i="5"/>
  <c r="G58" i="5" s="1"/>
  <c r="A47" i="4"/>
  <c r="F58" i="4"/>
  <c r="G58" i="4" s="1"/>
  <c r="D18" i="1"/>
  <c r="F38" i="1" s="1"/>
  <c r="C41" i="1" s="1"/>
  <c r="A49" i="30" l="1"/>
  <c r="D20" i="30"/>
  <c r="C40" i="30" s="1"/>
  <c r="D40" i="30" s="1"/>
  <c r="D41" i="30" s="1"/>
  <c r="B51" i="30"/>
  <c r="B55" i="30" s="1"/>
  <c r="A53" i="30"/>
  <c r="A49" i="29"/>
  <c r="D20" i="29"/>
  <c r="C40" i="29" s="1"/>
  <c r="D40" i="29" s="1"/>
  <c r="D41" i="29" s="1"/>
  <c r="B51" i="29" s="1"/>
  <c r="B55" i="29" s="1"/>
  <c r="A53" i="29"/>
  <c r="A49" i="28"/>
  <c r="A53" i="28"/>
  <c r="D20" i="28"/>
  <c r="C40" i="28" s="1"/>
  <c r="D40" i="28" s="1"/>
  <c r="D41" i="28" s="1"/>
  <c r="B51" i="28" s="1"/>
  <c r="B55" i="28" s="1"/>
  <c r="A49" i="27"/>
  <c r="A53" i="27"/>
  <c r="D20" i="27"/>
  <c r="C40" i="27" s="1"/>
  <c r="D40" i="27" s="1"/>
  <c r="D41" i="27" s="1"/>
  <c r="B51" i="27" s="1"/>
  <c r="B55" i="27" s="1"/>
  <c r="A49" i="26"/>
  <c r="A53" i="26"/>
  <c r="D20" i="26"/>
  <c r="C40" i="26" s="1"/>
  <c r="D40" i="26" s="1"/>
  <c r="D41" i="26" s="1"/>
  <c r="B51" i="26" s="1"/>
  <c r="B55" i="26" s="1"/>
  <c r="A49" i="25"/>
  <c r="A53" i="25"/>
  <c r="D20" i="25"/>
  <c r="C40" i="25" s="1"/>
  <c r="D40" i="25" s="1"/>
  <c r="D41" i="25" s="1"/>
  <c r="B51" i="25" s="1"/>
  <c r="B55" i="25" s="1"/>
  <c r="A49" i="24"/>
  <c r="A53" i="24"/>
  <c r="D20" i="24"/>
  <c r="C40" i="24" s="1"/>
  <c r="D40" i="24" s="1"/>
  <c r="D41" i="24" s="1"/>
  <c r="B51" i="24" s="1"/>
  <c r="B55" i="24" s="1"/>
  <c r="A53" i="23"/>
  <c r="A49" i="23"/>
  <c r="D20" i="23"/>
  <c r="C40" i="23" s="1"/>
  <c r="D40" i="23" s="1"/>
  <c r="D41" i="23" s="1"/>
  <c r="B51" i="23" s="1"/>
  <c r="B55" i="23" s="1"/>
  <c r="A49" i="22"/>
  <c r="A53" i="22"/>
  <c r="D20" i="22"/>
  <c r="C40" i="22" s="1"/>
  <c r="D40" i="22" s="1"/>
  <c r="D41" i="22" s="1"/>
  <c r="B51" i="22" s="1"/>
  <c r="B55" i="22" s="1"/>
  <c r="A49" i="21"/>
  <c r="A53" i="21"/>
  <c r="D20" i="21"/>
  <c r="C40" i="21" s="1"/>
  <c r="D40" i="21" s="1"/>
  <c r="D41" i="21" s="1"/>
  <c r="B51" i="21" s="1"/>
  <c r="B55" i="21" s="1"/>
  <c r="D20" i="20"/>
  <c r="C40" i="20" s="1"/>
  <c r="D40" i="20" s="1"/>
  <c r="D41" i="20" s="1"/>
  <c r="A53" i="20"/>
  <c r="A49" i="20"/>
  <c r="A49" i="19"/>
  <c r="A53" i="19"/>
  <c r="D20" i="19"/>
  <c r="C40" i="19" s="1"/>
  <c r="D40" i="19" s="1"/>
  <c r="D41" i="19" s="1"/>
  <c r="A49" i="17"/>
  <c r="A53" i="17"/>
  <c r="D20" i="17"/>
  <c r="C40" i="17" s="1"/>
  <c r="D40" i="17" s="1"/>
  <c r="D41" i="17" s="1"/>
  <c r="B51" i="17" s="1"/>
  <c r="B55" i="17" s="1"/>
  <c r="A49" i="16"/>
  <c r="A53" i="16"/>
  <c r="D20" i="16"/>
  <c r="C40" i="16" s="1"/>
  <c r="D40" i="16" s="1"/>
  <c r="D41" i="16" s="1"/>
  <c r="B51" i="16" s="1"/>
  <c r="B55" i="16" s="1"/>
  <c r="A49" i="15"/>
  <c r="A53" i="15"/>
  <c r="D20" i="15"/>
  <c r="C40" i="15" s="1"/>
  <c r="D40" i="15" s="1"/>
  <c r="D41" i="15" s="1"/>
  <c r="B51" i="15" s="1"/>
  <c r="B55" i="15" s="1"/>
  <c r="A49" i="14"/>
  <c r="D20" i="14"/>
  <c r="C40" i="14" s="1"/>
  <c r="D40" i="14" s="1"/>
  <c r="D41" i="14" s="1"/>
  <c r="B51" i="14" s="1"/>
  <c r="B55" i="14" s="1"/>
  <c r="A53" i="14"/>
  <c r="A49" i="13"/>
  <c r="A53" i="13"/>
  <c r="D20" i="13"/>
  <c r="C40" i="13" s="1"/>
  <c r="D40" i="13" s="1"/>
  <c r="D41" i="13" s="1"/>
  <c r="B51" i="13" s="1"/>
  <c r="B55" i="13" s="1"/>
  <c r="A49" i="12"/>
  <c r="D20" i="12"/>
  <c r="C40" i="12" s="1"/>
  <c r="D40" i="12" s="1"/>
  <c r="D41" i="12" s="1"/>
  <c r="B51" i="12" s="1"/>
  <c r="B55" i="12" s="1"/>
  <c r="A53" i="12"/>
  <c r="A49" i="11"/>
  <c r="A53" i="11"/>
  <c r="D20" i="11"/>
  <c r="C40" i="11" s="1"/>
  <c r="D40" i="11" s="1"/>
  <c r="D41" i="11" s="1"/>
  <c r="B51" i="11" s="1"/>
  <c r="B55" i="11" s="1"/>
  <c r="A49" i="10"/>
  <c r="A53" i="10"/>
  <c r="D20" i="10"/>
  <c r="C40" i="10" s="1"/>
  <c r="D40" i="10" s="1"/>
  <c r="D41" i="10" s="1"/>
  <c r="B51" i="10" s="1"/>
  <c r="B55" i="10" s="1"/>
  <c r="A49" i="9"/>
  <c r="D20" i="9"/>
  <c r="C40" i="9" s="1"/>
  <c r="D40" i="9" s="1"/>
  <c r="D41" i="9" s="1"/>
  <c r="B51" i="9" s="1"/>
  <c r="B55" i="9" s="1"/>
  <c r="A53" i="9"/>
  <c r="A49" i="8"/>
  <c r="A53" i="8"/>
  <c r="D20" i="8"/>
  <c r="C40" i="8" s="1"/>
  <c r="D40" i="8" s="1"/>
  <c r="D41" i="8" s="1"/>
  <c r="B51" i="8" s="1"/>
  <c r="B55" i="8" s="1"/>
  <c r="A47" i="1"/>
  <c r="F58" i="1"/>
  <c r="G58" i="1" s="1"/>
  <c r="I58" i="7"/>
  <c r="A49" i="6"/>
  <c r="D20" i="6"/>
  <c r="C40" i="6" s="1"/>
  <c r="D40" i="6" s="1"/>
  <c r="D41" i="6" s="1"/>
  <c r="B51" i="6" s="1"/>
  <c r="B55" i="6" s="1"/>
  <c r="A53" i="6"/>
  <c r="A49" i="5"/>
  <c r="D20" i="5"/>
  <c r="C40" i="5" s="1"/>
  <c r="D40" i="5" s="1"/>
  <c r="D41" i="5" s="1"/>
  <c r="B51" i="5" s="1"/>
  <c r="B55" i="5" s="1"/>
  <c r="A53" i="5"/>
  <c r="D20" i="4"/>
  <c r="C40" i="4" s="1"/>
  <c r="D40" i="4" s="1"/>
  <c r="D41" i="4" s="1"/>
  <c r="B51" i="4" s="1"/>
  <c r="B55" i="4" s="1"/>
  <c r="A49" i="4"/>
  <c r="A53" i="4"/>
  <c r="J58" i="30" l="1"/>
  <c r="I58" i="30"/>
  <c r="I58" i="29"/>
  <c r="J58" i="29"/>
  <c r="J58" i="28"/>
  <c r="I58" i="28"/>
  <c r="J58" i="27"/>
  <c r="I58" i="27"/>
  <c r="I58" i="26"/>
  <c r="J58" i="26"/>
  <c r="J58" i="25"/>
  <c r="I58" i="25"/>
  <c r="I58" i="24"/>
  <c r="J58" i="24"/>
  <c r="I58" i="23"/>
  <c r="J58" i="23"/>
  <c r="I58" i="22"/>
  <c r="J58" i="22"/>
  <c r="I58" i="21"/>
  <c r="J58" i="21"/>
  <c r="B51" i="20"/>
  <c r="B55" i="20" s="1"/>
  <c r="B51" i="19"/>
  <c r="B55" i="19" s="1"/>
  <c r="J58" i="17"/>
  <c r="I58" i="17"/>
  <c r="I58" i="16"/>
  <c r="J58" i="16"/>
  <c r="J58" i="15"/>
  <c r="I58" i="15"/>
  <c r="I58" i="14"/>
  <c r="J58" i="14"/>
  <c r="I58" i="13"/>
  <c r="J58" i="13"/>
  <c r="I58" i="12"/>
  <c r="J58" i="12"/>
  <c r="I58" i="11"/>
  <c r="J58" i="11"/>
  <c r="I58" i="10"/>
  <c r="J58" i="10"/>
  <c r="J58" i="9"/>
  <c r="I58" i="9"/>
  <c r="I58" i="8"/>
  <c r="J58" i="8"/>
  <c r="D20" i="1"/>
  <c r="C40" i="1" s="1"/>
  <c r="D40" i="1" s="1"/>
  <c r="D41" i="1" s="1"/>
  <c r="B51" i="1" s="1"/>
  <c r="B55" i="1" s="1"/>
  <c r="A53" i="1"/>
  <c r="A49" i="1"/>
  <c r="I58" i="6"/>
  <c r="J58" i="6"/>
  <c r="I58" i="5"/>
  <c r="J58" i="5"/>
  <c r="J58" i="4"/>
  <c r="I58" i="4"/>
  <c r="J58" i="20" l="1"/>
  <c r="I58" i="20"/>
  <c r="J58" i="19"/>
  <c r="I58" i="19"/>
  <c r="I58" i="1"/>
  <c r="J5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<sst xmlns="http://schemas.openxmlformats.org/spreadsheetml/2006/main" count="2139" uniqueCount="264">
  <si>
    <t>CLIENTE</t>
  </si>
  <si>
    <t>TIPO DE RECAUDO</t>
  </si>
  <si>
    <t xml:space="preserve">PAGOS </t>
  </si>
  <si>
    <t>ANTICIPO</t>
  </si>
  <si>
    <t>DIGITAL</t>
  </si>
  <si>
    <t>FISICO</t>
  </si>
  <si>
    <t>BANCOLOMBIA</t>
  </si>
  <si>
    <t>SUCURSAL</t>
  </si>
  <si>
    <t>OTROS BANCOS</t>
  </si>
  <si>
    <t>CORRESPONSAL</t>
  </si>
  <si>
    <t>PSE</t>
  </si>
  <si>
    <t>CAJERO</t>
  </si>
  <si>
    <t>TOTAL</t>
  </si>
  <si>
    <t>PAGOS</t>
  </si>
  <si>
    <t>FACTURA</t>
  </si>
  <si>
    <t>SALDO</t>
  </si>
  <si>
    <t>COMISIÓN GALCOMEX</t>
  </si>
  <si>
    <t>IVA COMISIÓN</t>
  </si>
  <si>
    <t>IMPUESTO 4X1000</t>
  </si>
  <si>
    <t>ANTICIPO + SALDO A CARGO</t>
  </si>
  <si>
    <t>COSTOS BANCARIOS</t>
  </si>
  <si>
    <t>FECHA</t>
  </si>
  <si>
    <t>SALDO LUIS MARTINEZ</t>
  </si>
  <si>
    <t>NOMBRE</t>
  </si>
  <si>
    <t>Pagos relacionados en FACT.</t>
  </si>
  <si>
    <t>CHEQUEO</t>
  </si>
  <si>
    <t>COSTO</t>
  </si>
  <si>
    <t>4 X 1000</t>
  </si>
  <si>
    <t>BAQ-XXXXX</t>
  </si>
  <si>
    <t>DO</t>
  </si>
  <si>
    <t>FECHA PAGO</t>
  </si>
  <si>
    <t>A CARGO/ A FAVOR</t>
  </si>
  <si>
    <t>A CARGO</t>
  </si>
  <si>
    <t>A FAVOR</t>
  </si>
  <si>
    <t>TRANSF BANCOLOMBIA</t>
  </si>
  <si>
    <t>TRANSF OTROS BANCOS</t>
  </si>
  <si>
    <t>PAGO LM</t>
  </si>
  <si>
    <t>PAGO CLIENTE</t>
  </si>
  <si>
    <t>FECHA FACT</t>
  </si>
  <si>
    <t>SALDO A CARGO</t>
  </si>
  <si>
    <t>DO.XXXXX-XXXX</t>
  </si>
  <si>
    <t>X</t>
  </si>
  <si>
    <t>SALDO LM</t>
  </si>
  <si>
    <t>TOTAL LM</t>
  </si>
  <si>
    <t>CRUCE</t>
  </si>
  <si>
    <t>APLICADO</t>
  </si>
  <si>
    <t>RESTANTE</t>
  </si>
  <si>
    <t>XX/XX/2026</t>
  </si>
  <si>
    <t>GRUPO E PAPIS</t>
  </si>
  <si>
    <t>DO.CTG26-0028</t>
  </si>
  <si>
    <t>ANTICIPO LUIS INSP INVIMA</t>
  </si>
  <si>
    <t>DO.CTG26-0032</t>
  </si>
  <si>
    <t>DO.BUN26-0026</t>
  </si>
  <si>
    <t>DO.CTG26-0033</t>
  </si>
  <si>
    <t>IMP DIAN</t>
  </si>
  <si>
    <t>ROD.482026030023741-5</t>
  </si>
  <si>
    <t>CTG26-0028</t>
  </si>
  <si>
    <t>CTG26-0033</t>
  </si>
  <si>
    <t>BUN26-0026</t>
  </si>
  <si>
    <t>CTG26-0032</t>
  </si>
  <si>
    <t>ROD.482026030023746-1</t>
  </si>
  <si>
    <t>SALDO A FAVOR</t>
  </si>
  <si>
    <t>MANEJO NAVIERA</t>
  </si>
  <si>
    <t>BL.ANT1964097</t>
  </si>
  <si>
    <t>AMC COMODATO</t>
  </si>
  <si>
    <t>CONTECAR</t>
  </si>
  <si>
    <t>FESP7211437 - FESP7211438</t>
  </si>
  <si>
    <t>FESP7212720</t>
  </si>
  <si>
    <t>COSCO</t>
  </si>
  <si>
    <t>CLI 126153 - CLI 126380 - CSL 86265 - DEP</t>
  </si>
  <si>
    <t>ROD.352026030065733-3</t>
  </si>
  <si>
    <t>SOCIEDAD PORTUARIA BUENAVENTURA</t>
  </si>
  <si>
    <t>REEMBOLSO LUIS SPRBUN</t>
  </si>
  <si>
    <t>01-368122</t>
  </si>
  <si>
    <t>REEMBOLSO LUIS AMC COMODATO</t>
  </si>
  <si>
    <t>NAVEMAR</t>
  </si>
  <si>
    <t>BL.HLCUANR251244858</t>
  </si>
  <si>
    <t>HAPAG LLOYD</t>
  </si>
  <si>
    <t>FL-1777941 - FL-1777942</t>
  </si>
  <si>
    <t>FESP7211446 - FESP7211447</t>
  </si>
  <si>
    <t>FESP7212721</t>
  </si>
  <si>
    <t xml:space="preserve">BL.ANT1969451 </t>
  </si>
  <si>
    <t>ROD.482026030025812-9</t>
  </si>
  <si>
    <t>FESP7215473 - FESP7215474</t>
  </si>
  <si>
    <t>ANTICIPO LUIS AR LOGISTY</t>
  </si>
  <si>
    <t>BAQ-18286</t>
  </si>
  <si>
    <t>BAQ-18287</t>
  </si>
  <si>
    <t>BAQ-18288</t>
  </si>
  <si>
    <t>BAQ-18322</t>
  </si>
  <si>
    <t>DO.CTG26-0070</t>
  </si>
  <si>
    <t xml:space="preserve">BL.HLCUANR260206367 </t>
  </si>
  <si>
    <t>FL-1790957 - FL-1790958</t>
  </si>
  <si>
    <t>ROD.482026030044552-1</t>
  </si>
  <si>
    <t>FESP7243832 - FESP7243833</t>
  </si>
  <si>
    <t>DO.CTG26-0063</t>
  </si>
  <si>
    <t>MANEJO POLIZA</t>
  </si>
  <si>
    <t>BL.ANT1972622</t>
  </si>
  <si>
    <t>COMODATO AMC</t>
  </si>
  <si>
    <t xml:space="preserve">ROD.482026030043644-4 </t>
  </si>
  <si>
    <t>SOCIEDAD PORTUARIA CARTAGENA</t>
  </si>
  <si>
    <t>FESP8321336</t>
  </si>
  <si>
    <t>MORAS CONTENEDOR</t>
  </si>
  <si>
    <t xml:space="preserve">CONT.CGMU7013445 </t>
  </si>
  <si>
    <t>BAQ-18358</t>
  </si>
  <si>
    <t>BAQ-18359</t>
  </si>
  <si>
    <t>CTG26-0079</t>
  </si>
  <si>
    <t>DO.CTG26-0079</t>
  </si>
  <si>
    <t>CTG26-0078</t>
  </si>
  <si>
    <t xml:space="preserve">ANTICIPO LUIS INSP INVIMA </t>
  </si>
  <si>
    <t xml:space="preserve">NAVEMAR </t>
  </si>
  <si>
    <t>BL.HLCUANR260242657</t>
  </si>
  <si>
    <t>FL-1793858 - FL-1794228</t>
  </si>
  <si>
    <t>ROD.482026030050200-7</t>
  </si>
  <si>
    <t>FESP7250900 - FESP7250901</t>
  </si>
  <si>
    <t>ANTICIPO LUIS PAGOS PROPIOS</t>
  </si>
  <si>
    <t>DO.CTG26-0078</t>
  </si>
  <si>
    <t>BL.HLCUANR260242668</t>
  </si>
  <si>
    <t>FL-1794226 - FL-1794227</t>
  </si>
  <si>
    <t xml:space="preserve">ROD.482026030050273-4 </t>
  </si>
  <si>
    <t>FESP7250894 - FESP7250895</t>
  </si>
  <si>
    <t>BAQ-18377</t>
  </si>
  <si>
    <t>BAQ-18378</t>
  </si>
  <si>
    <t>DO.CTG26-0098</t>
  </si>
  <si>
    <t>CTG26-0098</t>
  </si>
  <si>
    <t>CTG26-0090</t>
  </si>
  <si>
    <t>CTG26-0099</t>
  </si>
  <si>
    <t>DO.CTG26-0090</t>
  </si>
  <si>
    <t>DO.CTG26-0099</t>
  </si>
  <si>
    <t>FL-1803816 - FL-1803817</t>
  </si>
  <si>
    <t xml:space="preserve">BL.HLCUANR260328542 </t>
  </si>
  <si>
    <t>ROD.482026030064162-6</t>
  </si>
  <si>
    <t>ROD.482026030064156-1</t>
  </si>
  <si>
    <t>ANTICIPO LUIS GEST DOCUMENTAL</t>
  </si>
  <si>
    <t>FESP7273933 - FESP7273934</t>
  </si>
  <si>
    <t>FL-1803818 - FL-1803819</t>
  </si>
  <si>
    <t>BL.HLCUANR260328509</t>
  </si>
  <si>
    <t>ROD.482026030064948-8</t>
  </si>
  <si>
    <t>ROD.482026030064953-5</t>
  </si>
  <si>
    <t>FESP7275421</t>
  </si>
  <si>
    <t>REEMBOLSO LUIS CONTECAR</t>
  </si>
  <si>
    <t>FESP7276427</t>
  </si>
  <si>
    <t>FL-1803815</t>
  </si>
  <si>
    <t>BL.HLCUANR260337228</t>
  </si>
  <si>
    <t>ROD.482026030065448-1</t>
  </si>
  <si>
    <t>FESP7275418 - FESP7275419</t>
  </si>
  <si>
    <t>FL-1807914</t>
  </si>
  <si>
    <t>FESP7279767 - FESP7279768</t>
  </si>
  <si>
    <t>DO.CTG26-0106</t>
  </si>
  <si>
    <t>DO.CTG26-0105</t>
  </si>
  <si>
    <t>DO.CTG26-0111</t>
  </si>
  <si>
    <t>CTG26-0105</t>
  </si>
  <si>
    <t>CTG26-0106</t>
  </si>
  <si>
    <t>CTG26-0111</t>
  </si>
  <si>
    <t>BL.ANT1989427B</t>
  </si>
  <si>
    <t>ROD.482026030070223-1</t>
  </si>
  <si>
    <t>FESP7282319 - FESP7282320</t>
  </si>
  <si>
    <t>BL.ANT1989803</t>
  </si>
  <si>
    <t>ROD.482026030071984-2</t>
  </si>
  <si>
    <t>FESP7287211 - FESP7287212</t>
  </si>
  <si>
    <t>BL.ANT1989427A</t>
  </si>
  <si>
    <t>ROD.482026030070657-4</t>
  </si>
  <si>
    <t>FESP7282315 - FESP7282316</t>
  </si>
  <si>
    <t>FESP7284469 - FESP7284470</t>
  </si>
  <si>
    <t>BAQ-18413</t>
  </si>
  <si>
    <t xml:space="preserve">BAQ-18414 </t>
  </si>
  <si>
    <t>BAQ-18415</t>
  </si>
  <si>
    <t>DO.CTG26-0124</t>
  </si>
  <si>
    <t xml:space="preserve">ROD.482026030075572-1 </t>
  </si>
  <si>
    <t>FL-1809223 - FL-1809224</t>
  </si>
  <si>
    <t>BL.HLCUANR260370944</t>
  </si>
  <si>
    <t>DO.CTG26-0118</t>
  </si>
  <si>
    <t>ROD.482026030075064-1</t>
  </si>
  <si>
    <t>FL-1809221 - FL-1809222</t>
  </si>
  <si>
    <t xml:space="preserve">BL.HLCUANR260374309 </t>
  </si>
  <si>
    <t>FESP7291332 - FESP7291333</t>
  </si>
  <si>
    <t>ANTICIPO LUIS CORRECCION DIM</t>
  </si>
  <si>
    <t>DIM.482026000256861-1</t>
  </si>
  <si>
    <t>FESP7290861 - FESP7290862</t>
  </si>
  <si>
    <t>CONT.TTNU862391-5</t>
  </si>
  <si>
    <t>BAQ-18425</t>
  </si>
  <si>
    <t>BAQ-18426</t>
  </si>
  <si>
    <t>BAQ-18435</t>
  </si>
  <si>
    <t>ANTICIPO LUIS REAJUSTE IMP</t>
  </si>
  <si>
    <t>FESP7298367 - FESP7298463 - FESP7298464</t>
  </si>
  <si>
    <t>FESP7301180</t>
  </si>
  <si>
    <t>MORAS NAVEMAR</t>
  </si>
  <si>
    <t>CONT.HLBU6052372</t>
  </si>
  <si>
    <t>BAQ-18453</t>
  </si>
  <si>
    <t>DO.CTG26-0126</t>
  </si>
  <si>
    <t>ROD.482026030079197-9</t>
  </si>
  <si>
    <t>BL.HLCUANR260370966</t>
  </si>
  <si>
    <t>FL-1812315 - FL-1814027</t>
  </si>
  <si>
    <t>FESP7298487 - FESP7298745 - FESP7298746</t>
  </si>
  <si>
    <t>BAQ-18454</t>
  </si>
  <si>
    <t>BAQ-18455</t>
  </si>
  <si>
    <t>DO.CTG26-0133</t>
  </si>
  <si>
    <t xml:space="preserve">ROD.482026030084103-7 </t>
  </si>
  <si>
    <t>FL-1815513 - FL-1818475</t>
  </si>
  <si>
    <t>BL.HLCUANR260411439</t>
  </si>
  <si>
    <t>FESP7305710 - FESP7305711</t>
  </si>
  <si>
    <t xml:space="preserve">FESP7308009 </t>
  </si>
  <si>
    <t>FESP7309755</t>
  </si>
  <si>
    <t>DO.BUN26-0098</t>
  </si>
  <si>
    <t>CLI-137678 - CSL-94498 - DEP</t>
  </si>
  <si>
    <t>ROD.352026030183079-1</t>
  </si>
  <si>
    <t>ROD.352026030183080-8</t>
  </si>
  <si>
    <t>ROD.352026030183081-5</t>
  </si>
  <si>
    <t>DO.CTG26-0128</t>
  </si>
  <si>
    <t xml:space="preserve">ROD.482026030084070-2 </t>
  </si>
  <si>
    <t>FL-1815512 - FL-1819178</t>
  </si>
  <si>
    <t>BL.HLCUANR260370911</t>
  </si>
  <si>
    <t>FESP7305706 - FESP7305707</t>
  </si>
  <si>
    <t>FESP7307999</t>
  </si>
  <si>
    <t>FESP7311321</t>
  </si>
  <si>
    <t>DO.CTG26-0141</t>
  </si>
  <si>
    <t>ROD.482026030090871-1</t>
  </si>
  <si>
    <t>FL-1820691 - FL-1820692</t>
  </si>
  <si>
    <t>BL.HLCUANR260443656</t>
  </si>
  <si>
    <t>DO.CTG26-0142</t>
  </si>
  <si>
    <t>ROD.482026030090878-0</t>
  </si>
  <si>
    <t>BL.HLCUANR260467682</t>
  </si>
  <si>
    <t>BAQ-18458</t>
  </si>
  <si>
    <t>BAQ-18459</t>
  </si>
  <si>
    <t xml:space="preserve">REEMBOLSO COMODATO AMC </t>
  </si>
  <si>
    <t>BL.6447211880</t>
  </si>
  <si>
    <t>BAQ-18460</t>
  </si>
  <si>
    <t>16/X05/2026</t>
  </si>
  <si>
    <t>FESP7315622 - FESP7315623</t>
  </si>
  <si>
    <t>CTG26-0141</t>
  </si>
  <si>
    <t>CTG26-0142</t>
  </si>
  <si>
    <t>FESP7315625 - FESP7315626</t>
  </si>
  <si>
    <t>FESP7317109</t>
  </si>
  <si>
    <t>DO.CTG26-0150</t>
  </si>
  <si>
    <t>CTG26-0150</t>
  </si>
  <si>
    <t>CTG26-0151</t>
  </si>
  <si>
    <t>DO.CTG26-0151</t>
  </si>
  <si>
    <t>FL-1822908 - FL-1823391</t>
  </si>
  <si>
    <t>BL.HLCUANR260488907</t>
  </si>
  <si>
    <t>ROD.482026030095039-0</t>
  </si>
  <si>
    <t>ANTICIPO LUIS AGILIZACION</t>
  </si>
  <si>
    <t>FESP7323213 - FESP7323214</t>
  </si>
  <si>
    <t>FESP7325243</t>
  </si>
  <si>
    <t>REEMBOLSO CONTECAR</t>
  </si>
  <si>
    <t>FESP7326558</t>
  </si>
  <si>
    <t>FL-1824425 - FL-1824426</t>
  </si>
  <si>
    <t>BL.HLCUANR260450526</t>
  </si>
  <si>
    <t xml:space="preserve">ROD.482026030095024-0 </t>
  </si>
  <si>
    <t>FESP7323215 - FESP7323216</t>
  </si>
  <si>
    <t>DO.CTG26-0169</t>
  </si>
  <si>
    <t>FL-1827163 - FL-1827165</t>
  </si>
  <si>
    <t>BL.HLCUANR260447299</t>
  </si>
  <si>
    <t>ROD.482026030100485-4</t>
  </si>
  <si>
    <t>FESP7317108</t>
  </si>
  <si>
    <t>FESP7318911</t>
  </si>
  <si>
    <t>BAQ-18485</t>
  </si>
  <si>
    <t>BAQ-18486</t>
  </si>
  <si>
    <t>BAQ-18487</t>
  </si>
  <si>
    <t>BAQ-18488</t>
  </si>
  <si>
    <t>FESP7331613 - FESP7331614</t>
  </si>
  <si>
    <t>FESP7333044</t>
  </si>
  <si>
    <t>BAQ-18506</t>
  </si>
  <si>
    <t>DO.CTG26-0174</t>
  </si>
  <si>
    <t>BL.ANT2004633</t>
  </si>
  <si>
    <t>ROD.482026030109542-7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</si>
</sst>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\ #,##0.00;\-&quot;$&quot;\ #,##0.00"/>
    <numFmt numFmtId="44" formatCode="_-&quot;$&quot;\ * #,##0.00_-;\-&quot;$&quot;\ * #,##0.00_-;_-&quot;$&quot;\ 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3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20"/>
      <color rgb="FFFF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6">
    <xf numFmtId="0" fontId="0" fillId="0" borderId="0" xfId="0"/>
    <xf numFmtId="44" fontId="2" fillId="0" borderId="0" xfId="1" applyFont="1" applyAlignment="1">
      <alignment horizontal="left"/>
    </xf>
    <xf numFmtId="44" fontId="3" fillId="0" borderId="0" xfId="1" applyFont="1"/>
    <xf numFmtId="44" fontId="4" fillId="0" borderId="0" xfId="1" applyFont="1"/>
    <xf numFmtId="44" fontId="5" fillId="0" borderId="0" xfId="1" applyFont="1"/>
    <xf numFmtId="44" fontId="6" fillId="0" borderId="0" xfId="1" applyFont="1"/>
    <xf numFmtId="44" fontId="6" fillId="0" borderId="0" xfId="1" applyFont="1" applyAlignment="1">
      <alignment horizontal="center"/>
    </xf>
    <xf numFmtId="44" fontId="6" fillId="4" borderId="0" xfId="1" applyFont="1" applyFill="1" applyAlignment="1">
      <alignment horizontal="center"/>
    </xf>
    <xf numFmtId="14" fontId="6" fillId="0" borderId="0" xfId="1" applyNumberFormat="1" applyFont="1" applyAlignment="1">
      <alignment horizontal="center"/>
    </xf>
    <xf numFmtId="44" fontId="3" fillId="0" borderId="0" xfId="1" applyFont="1" applyAlignment="1">
      <alignment horizontal="center"/>
    </xf>
    <xf numFmtId="44" fontId="3" fillId="0" borderId="8" xfId="1" applyFont="1" applyBorder="1"/>
    <xf numFmtId="44" fontId="3" fillId="0" borderId="0" xfId="1" applyFont="1" applyBorder="1"/>
    <xf numFmtId="44" fontId="6" fillId="0" borderId="0" xfId="1" applyFont="1" applyAlignment="1">
      <alignment horizontal="center" vertical="center"/>
    </xf>
    <xf numFmtId="44" fontId="3" fillId="0" borderId="0" xfId="1" applyFont="1" applyAlignment="1">
      <alignment horizontal="center" vertical="center"/>
    </xf>
    <xf numFmtId="44" fontId="3" fillId="0" borderId="0" xfId="1" applyFont="1" applyFill="1"/>
    <xf numFmtId="44" fontId="6" fillId="5" borderId="1" xfId="1" applyFont="1" applyFill="1" applyBorder="1" applyAlignment="1">
      <alignment horizontal="center"/>
    </xf>
    <xf numFmtId="44" fontId="3" fillId="5" borderId="3" xfId="1" applyFont="1" applyFill="1" applyBorder="1"/>
    <xf numFmtId="44" fontId="6" fillId="5" borderId="6" xfId="1" applyFont="1" applyFill="1" applyBorder="1" applyAlignment="1">
      <alignment horizontal="center"/>
    </xf>
    <xf numFmtId="44" fontId="3" fillId="5" borderId="7" xfId="1" applyFont="1" applyFill="1" applyBorder="1"/>
    <xf numFmtId="44" fontId="3" fillId="5" borderId="0" xfId="1" applyFont="1" applyFill="1" applyBorder="1" applyAlignment="1">
      <alignment horizontal="center"/>
    </xf>
    <xf numFmtId="44" fontId="6" fillId="5" borderId="8" xfId="1" applyFont="1" applyFill="1" applyBorder="1" applyAlignment="1">
      <alignment horizontal="center"/>
    </xf>
    <xf numFmtId="44" fontId="3" fillId="5" borderId="10" xfId="1" applyFont="1" applyFill="1" applyBorder="1"/>
    <xf numFmtId="44" fontId="3" fillId="5" borderId="9" xfId="1" applyFont="1" applyFill="1" applyBorder="1"/>
    <xf numFmtId="44" fontId="6" fillId="6" borderId="1" xfId="1" applyFont="1" applyFill="1" applyBorder="1" applyAlignment="1">
      <alignment horizontal="center"/>
    </xf>
    <xf numFmtId="44" fontId="3" fillId="6" borderId="3" xfId="1" applyFont="1" applyFill="1" applyBorder="1" applyAlignment="1">
      <alignment horizontal="center"/>
    </xf>
    <xf numFmtId="44" fontId="6" fillId="6" borderId="6" xfId="1" applyFont="1" applyFill="1" applyBorder="1" applyAlignment="1">
      <alignment horizontal="center"/>
    </xf>
    <xf numFmtId="14" fontId="3" fillId="6" borderId="7" xfId="1" applyNumberFormat="1" applyFont="1" applyFill="1" applyBorder="1" applyAlignment="1">
      <alignment horizontal="center"/>
    </xf>
    <xf numFmtId="44" fontId="3" fillId="6" borderId="7" xfId="1" applyFont="1" applyFill="1" applyBorder="1"/>
    <xf numFmtId="44" fontId="3" fillId="8" borderId="0" xfId="1" applyFont="1" applyFill="1"/>
    <xf numFmtId="44" fontId="6" fillId="9" borderId="0" xfId="1" applyFont="1" applyFill="1" applyAlignment="1">
      <alignment horizontal="center"/>
    </xf>
    <xf numFmtId="44" fontId="3" fillId="0" borderId="12" xfId="1" applyFont="1" applyBorder="1"/>
    <xf numFmtId="44" fontId="3" fillId="0" borderId="13" xfId="1" applyFont="1" applyBorder="1"/>
    <xf numFmtId="44" fontId="6" fillId="3" borderId="11" xfId="1" applyFont="1" applyFill="1" applyBorder="1" applyAlignment="1"/>
    <xf numFmtId="44" fontId="3" fillId="3" borderId="11" xfId="1" applyFont="1" applyFill="1" applyBorder="1"/>
    <xf numFmtId="44" fontId="6" fillId="3" borderId="11" xfId="1" applyFont="1" applyFill="1" applyBorder="1" applyAlignment="1">
      <alignment horizontal="center"/>
    </xf>
    <xf numFmtId="44" fontId="4" fillId="0" borderId="0" xfId="1" applyFont="1" applyAlignment="1">
      <alignment horizontal="left"/>
    </xf>
    <xf numFmtId="0" fontId="3" fillId="0" borderId="0" xfId="0" applyFont="1"/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44" fontId="3" fillId="0" borderId="14" xfId="1" applyFont="1" applyBorder="1" applyAlignment="1">
      <alignment horizontal="center"/>
    </xf>
    <xf numFmtId="44" fontId="3" fillId="0" borderId="5" xfId="1" applyFont="1" applyBorder="1"/>
    <xf numFmtId="0" fontId="2" fillId="0" borderId="4" xfId="0" applyFont="1" applyBorder="1"/>
    <xf numFmtId="0" fontId="2" fillId="10" borderId="4" xfId="0" applyFont="1" applyFill="1" applyBorder="1" applyAlignment="1">
      <alignment horizontal="center"/>
    </xf>
    <xf numFmtId="0" fontId="2" fillId="10" borderId="14" xfId="0" applyFont="1" applyFill="1" applyBorder="1" applyAlignment="1">
      <alignment horizontal="center"/>
    </xf>
    <xf numFmtId="0" fontId="2" fillId="10" borderId="5" xfId="0" applyFont="1" applyFill="1" applyBorder="1" applyAlignment="1">
      <alignment horizontal="center"/>
    </xf>
    <xf numFmtId="44" fontId="6" fillId="3" borderId="1" xfId="1" applyFont="1" applyFill="1" applyBorder="1" applyAlignment="1"/>
    <xf numFmtId="44" fontId="3" fillId="0" borderId="6" xfId="1" applyFont="1" applyBorder="1"/>
    <xf numFmtId="44" fontId="6" fillId="7" borderId="1" xfId="1" applyFont="1" applyFill="1" applyBorder="1" applyAlignment="1">
      <alignment horizontal="center"/>
    </xf>
    <xf numFmtId="44" fontId="3" fillId="0" borderId="3" xfId="1" applyFont="1" applyFill="1" applyBorder="1"/>
    <xf numFmtId="14" fontId="3" fillId="6" borderId="3" xfId="1" applyNumberFormat="1" applyFont="1" applyFill="1" applyBorder="1" applyAlignment="1">
      <alignment horizontal="center"/>
    </xf>
    <xf numFmtId="44" fontId="6" fillId="0" borderId="8" xfId="1" applyFont="1" applyBorder="1" applyAlignment="1">
      <alignment horizontal="center"/>
    </xf>
    <xf numFmtId="44" fontId="3" fillId="6" borderId="9" xfId="1" applyFont="1" applyFill="1" applyBorder="1"/>
    <xf numFmtId="44" fontId="6" fillId="7" borderId="6" xfId="1" applyFont="1" applyFill="1" applyBorder="1" applyAlignment="1">
      <alignment horizontal="center"/>
    </xf>
    <xf numFmtId="44" fontId="3" fillId="0" borderId="7" xfId="1" applyFont="1" applyFill="1" applyBorder="1"/>
    <xf numFmtId="44" fontId="6" fillId="6" borderId="8" xfId="1" applyFont="1" applyFill="1" applyBorder="1" applyAlignment="1">
      <alignment horizontal="center"/>
    </xf>
    <xf numFmtId="44" fontId="3" fillId="0" borderId="4" xfId="1" applyFont="1" applyBorder="1" applyAlignment="1">
      <alignment horizontal="center"/>
    </xf>
    <xf numFmtId="44" fontId="3" fillId="0" borderId="14" xfId="1" applyFont="1" applyBorder="1"/>
    <xf numFmtId="14" fontId="3" fillId="0" borderId="14" xfId="1" applyNumberFormat="1" applyFont="1" applyBorder="1" applyAlignment="1">
      <alignment horizontal="center"/>
    </xf>
    <xf numFmtId="14" fontId="3" fillId="0" borderId="5" xfId="1" applyNumberFormat="1" applyFont="1" applyBorder="1" applyAlignment="1">
      <alignment horizontal="center"/>
    </xf>
    <xf numFmtId="7" fontId="3" fillId="0" borderId="14" xfId="0" applyNumberFormat="1" applyFont="1" applyBorder="1" applyAlignment="1">
      <alignment horizontal="center"/>
    </xf>
    <xf numFmtId="7" fontId="3" fillId="0" borderId="14" xfId="1" applyNumberFormat="1" applyFont="1" applyBorder="1" applyAlignment="1">
      <alignment horizontal="center"/>
    </xf>
    <xf numFmtId="14" fontId="3" fillId="0" borderId="0" xfId="0" applyNumberFormat="1" applyFont="1"/>
    <xf numFmtId="14" fontId="2" fillId="10" borderId="5" xfId="0" applyNumberFormat="1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14" fontId="2" fillId="8" borderId="5" xfId="0" applyNumberFormat="1" applyFont="1" applyFill="1" applyBorder="1" applyAlignment="1">
      <alignment horizontal="center"/>
    </xf>
    <xf numFmtId="14" fontId="3" fillId="0" borderId="14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7" fontId="3" fillId="0" borderId="4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2" fillId="11" borderId="4" xfId="0" applyFont="1" applyFill="1" applyBorder="1"/>
    <xf numFmtId="44" fontId="2" fillId="11" borderId="5" xfId="0" applyNumberFormat="1" applyFont="1" applyFill="1" applyBorder="1"/>
    <xf numFmtId="44" fontId="3" fillId="0" borderId="5" xfId="0" applyNumberFormat="1" applyFont="1" applyBorder="1"/>
    <xf numFmtId="0" fontId="7" fillId="3" borderId="15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44" fontId="0" fillId="0" borderId="15" xfId="0" applyNumberFormat="1" applyBorder="1" applyAlignment="1">
      <alignment horizontal="center"/>
    </xf>
    <xf numFmtId="44" fontId="7" fillId="3" borderId="15" xfId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15" xfId="0" applyNumberFormat="1" applyBorder="1" applyAlignment="1">
      <alignment horizontal="center"/>
    </xf>
    <xf numFmtId="44" fontId="0" fillId="0" borderId="0" xfId="1" applyFont="1" applyAlignment="1">
      <alignment horizontal="center"/>
    </xf>
    <xf numFmtId="44" fontId="0" fillId="0" borderId="15" xfId="1" applyFont="1" applyFill="1" applyBorder="1" applyAlignment="1">
      <alignment horizontal="center"/>
    </xf>
    <xf numFmtId="44" fontId="0" fillId="0" borderId="15" xfId="1" applyFont="1" applyBorder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44" fontId="0" fillId="7" borderId="15" xfId="1" applyFont="1" applyFill="1" applyBorder="1" applyAlignment="1">
      <alignment horizontal="center"/>
    </xf>
    <xf numFmtId="14" fontId="0" fillId="7" borderId="15" xfId="0" applyNumberFormat="1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44" fontId="0" fillId="7" borderId="15" xfId="0" applyNumberFormat="1" applyFill="1" applyBorder="1" applyAlignment="1">
      <alignment horizontal="center"/>
    </xf>
    <xf numFmtId="44" fontId="6" fillId="0" borderId="0" xfId="1" applyFont="1" applyFill="1" applyAlignment="1">
      <alignment horizontal="center" vertical="center"/>
    </xf>
    <xf numFmtId="44" fontId="3" fillId="0" borderId="0" xfId="1" applyFont="1" applyFill="1" applyAlignment="1">
      <alignment horizontal="center" vertical="center"/>
    </xf>
    <xf numFmtId="44" fontId="6" fillId="2" borderId="4" xfId="1" applyFont="1" applyFill="1" applyBorder="1" applyAlignment="1">
      <alignment horizontal="center"/>
    </xf>
    <xf numFmtId="44" fontId="6" fillId="2" borderId="5" xfId="1" applyFont="1" applyFill="1" applyBorder="1" applyAlignment="1">
      <alignment horizontal="center"/>
    </xf>
    <xf numFmtId="44" fontId="3" fillId="5" borderId="2" xfId="1" applyFont="1" applyFill="1" applyBorder="1" applyAlignment="1">
      <alignment horizontal="center" vertical="center"/>
    </xf>
    <xf numFmtId="44" fontId="3" fillId="5" borderId="0" xfId="1" applyFont="1" applyFill="1" applyBorder="1" applyAlignment="1">
      <alignment horizontal="center" vertical="center"/>
    </xf>
    <xf numFmtId="14" fontId="6" fillId="0" borderId="0" xfId="1" applyNumberFormat="1" applyFont="1" applyAlignment="1">
      <alignment horizontal="center" vertical="center"/>
    </xf>
    <xf numFmtId="0" fontId="2" fillId="12" borderId="4" xfId="0" applyFont="1" applyFill="1" applyBorder="1" applyAlignment="1">
      <alignment horizontal="center"/>
    </xf>
    <xf numFmtId="0" fontId="2" fillId="12" borderId="5" xfId="0" applyFont="1" applyFill="1" applyBorder="1" applyAlignment="1">
      <alignment horizontal="center"/>
    </xf>
  </cellXfs>
  <cellStyles count="2">
    <cellStyle name="Moneda" xfId="1" builtinId="4"/>
    <cellStyle name="Normal" xfId="0" builtinId="0"/>
  </cellStyles>
  <dxfs count="68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  <dxf>
      <fill>
        <patternFill>
          <bgColor theme="3" tint="0.74996185186315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5F87F-542C-4B47-B3EB-EBB767C839BB}">
  <dimension ref="A1:O58"/>
  <sheetViews>
    <sheetView workbookViewId="0">
      <selection activeCell="B46" sqref="B46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15.5546875" style="2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40</v>
      </c>
      <c r="B2" s="4" t="s">
        <v>28</v>
      </c>
      <c r="F2" s="28"/>
      <c r="G2" s="5" t="s">
        <v>24</v>
      </c>
      <c r="I2" s="5" t="str">
        <f>+$B$2</f>
        <v>BAQ-XXXXX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 t="s">
        <v>21</v>
      </c>
      <c r="B5" s="9">
        <v>0</v>
      </c>
      <c r="C5" s="9"/>
      <c r="D5" s="9" cm="1">
        <f t="array" ref="D5">+IF(C5=$K$7,0,_xlfn.IFS(C5=$K$5,$L$5,C5=$K$6,$L$6,C5=$K$8,$L$8,C5=$K$9,$L$9,C5=$K$10,$L$10))</f>
        <v>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0</v>
      </c>
      <c r="C20" s="6" t="s">
        <v>27</v>
      </c>
      <c r="D20" s="2">
        <f>+IF($A$47="SALDO A FAVOR",$B$20*0.004,($B$20+ABS($B$47))*0.004)</f>
        <v>0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/>
      <c r="B23" s="13"/>
      <c r="C23" s="14"/>
      <c r="D23" s="2">
        <f>+$B$20-C23</f>
        <v>0</v>
      </c>
      <c r="F23" s="9" cm="1">
        <f t="array" ref="F23">+IF(E23=$K$11,0,_xlfn.IFS(E23=$K$12,$L$12,E23=$K$13,$L$13,E23=$K$14,$L$14))</f>
        <v>0</v>
      </c>
    </row>
    <row r="24" spans="1:8" x14ac:dyDescent="0.3">
      <c r="A24" s="12"/>
      <c r="B24" s="13"/>
      <c r="C24" s="14"/>
      <c r="D24" s="2">
        <f>+D23-C24</f>
        <v>0</v>
      </c>
      <c r="F24" s="9" cm="1">
        <f t="array" ref="F24">+IF(E24=$K$11,0,_xlfn.IFS(E24=$K$12,$L$12,E24=$K$13,$L$13,E24=$K$14,$L$14))</f>
        <v>0</v>
      </c>
    </row>
    <row r="25" spans="1:8" x14ac:dyDescent="0.3">
      <c r="A25" s="12"/>
      <c r="B25" s="13"/>
      <c r="C25" s="14"/>
      <c r="D25" s="2">
        <f t="shared" ref="D25:D40" si="0">+D24-C25</f>
        <v>0</v>
      </c>
      <c r="F25" s="9" cm="1">
        <f t="array" ref="F25">+IF(E25=$K$11,0,_xlfn.IFS(E25=$K$12,$L$12,E25=$K$13,$L$13,E25=$K$14,$L$14))</f>
        <v>0</v>
      </c>
    </row>
    <row r="26" spans="1:8" x14ac:dyDescent="0.3">
      <c r="A26" s="12"/>
      <c r="B26" s="13"/>
      <c r="C26" s="14"/>
      <c r="D26" s="2">
        <f t="shared" si="0"/>
        <v>0</v>
      </c>
      <c r="F26" s="9" cm="1">
        <f t="array" ref="F26">+IF(E26=$K$11,0,_xlfn.IFS(E26=$K$12,$L$12,E26=$K$13,$L$13,E26=$K$14,$L$14))</f>
        <v>0</v>
      </c>
    </row>
    <row r="27" spans="1:8" x14ac:dyDescent="0.3">
      <c r="A27" s="12"/>
      <c r="B27" s="13"/>
      <c r="C27" s="14"/>
      <c r="D27" s="2">
        <f t="shared" si="0"/>
        <v>0</v>
      </c>
      <c r="F27" s="9" cm="1">
        <f t="array" ref="F27">+IF(E27=$K$11,0,_xlfn.IFS(E27=$K$12,$L$12,E27=$K$13,$L$13,E27=$K$14,$L$14))</f>
        <v>0</v>
      </c>
    </row>
    <row r="28" spans="1:8" x14ac:dyDescent="0.3">
      <c r="A28" s="12"/>
      <c r="B28" s="13"/>
      <c r="C28" s="14"/>
      <c r="D28" s="2">
        <f t="shared" si="0"/>
        <v>0</v>
      </c>
      <c r="F28" s="9" cm="1">
        <f t="array" ref="F28">+IF(E28=$K$11,0,_xlfn.IFS(E28=$K$12,$L$12,E28=$K$13,$L$13,E28=$K$14,$L$14))</f>
        <v>0</v>
      </c>
    </row>
    <row r="29" spans="1:8" x14ac:dyDescent="0.3">
      <c r="A29" s="12"/>
      <c r="B29" s="13"/>
      <c r="C29" s="14"/>
      <c r="D29" s="2">
        <f t="shared" si="0"/>
        <v>0</v>
      </c>
      <c r="F29" s="9" cm="1">
        <f t="array" ref="F29">+IF(E29=$K$11,0,_xlfn.IFS(E29=$K$12,$L$12,E29=$K$13,$L$13,E29=$K$14,$L$14))</f>
        <v>0</v>
      </c>
    </row>
    <row r="30" spans="1:8" x14ac:dyDescent="0.3">
      <c r="A30" s="12"/>
      <c r="B30" s="13"/>
      <c r="C30" s="14"/>
      <c r="D30" s="2">
        <f t="shared" si="0"/>
        <v>0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0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0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0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0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0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0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0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BAQ-XXXXX</v>
      </c>
      <c r="C38" s="16"/>
      <c r="D38" s="2">
        <f t="shared" si="0"/>
        <v>0</v>
      </c>
      <c r="E38" s="6" t="s">
        <v>12</v>
      </c>
      <c r="F38" s="9">
        <f>+SUM(F23:F37)+$D$18</f>
        <v>0</v>
      </c>
    </row>
    <row r="39" spans="1:6" x14ac:dyDescent="0.3">
      <c r="A39" s="17" t="s">
        <v>17</v>
      </c>
      <c r="B39" s="92"/>
      <c r="C39" s="18"/>
      <c r="D39" s="2">
        <f t="shared" si="0"/>
        <v>0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0</v>
      </c>
      <c r="D40" s="2">
        <f t="shared" si="0"/>
        <v>0</v>
      </c>
      <c r="F40" s="9"/>
    </row>
    <row r="41" spans="1:6" x14ac:dyDescent="0.3">
      <c r="A41" s="20" t="s">
        <v>20</v>
      </c>
      <c r="B41" s="21"/>
      <c r="C41" s="22">
        <f>+$F$38</f>
        <v>0</v>
      </c>
      <c r="D41" s="2">
        <f>+D40-C41</f>
        <v>0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BAQ-XXXXX</v>
      </c>
    </row>
    <row r="45" spans="1:6" x14ac:dyDescent="0.3">
      <c r="A45" s="25" t="s">
        <v>21</v>
      </c>
      <c r="B45" s="26" t="s">
        <v>47</v>
      </c>
    </row>
    <row r="46" spans="1:6" x14ac:dyDescent="0.3">
      <c r="A46" s="25" t="s">
        <v>12</v>
      </c>
      <c r="B46" s="27"/>
    </row>
    <row r="47" spans="1:6" x14ac:dyDescent="0.3">
      <c r="A47" s="47" t="str">
        <f>+IF($B$47&gt;0,"SALDO A FAVOR","SALDO A CARGO")</f>
        <v>SALDO A CARGO</v>
      </c>
      <c r="B47" s="48">
        <f>+$B$20-$B$46</f>
        <v>0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RECAUDO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0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RECAUDO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0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DO.XXXXX-XXXX</v>
      </c>
      <c r="B58" s="39" t="str">
        <f>+$B$2</f>
        <v>BAQ-XXXXX</v>
      </c>
      <c r="C58" s="56">
        <f>+$B$20</f>
        <v>0</v>
      </c>
      <c r="D58" s="57" t="str">
        <f>+$B$45</f>
        <v>XX/XX/2026</v>
      </c>
      <c r="E58" s="56">
        <f>+$B$46</f>
        <v>0</v>
      </c>
      <c r="F58" s="56">
        <f>+$B$47</f>
        <v>0</v>
      </c>
      <c r="G58" s="39" t="str">
        <f>+IF(F58&gt;0,"SALDO A FAVOR","SALDO A CARGO")</f>
        <v>SALDO A CARGO</v>
      </c>
      <c r="H58" s="58" t="str">
        <f>+$B$48</f>
        <v>X</v>
      </c>
      <c r="I58" s="55">
        <f>+$B$55</f>
        <v>0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661" priority="21">
      <formula>$E$23="PSE"</formula>
    </cfRule>
  </conditionalFormatting>
  <conditionalFormatting sqref="A24:C24">
    <cfRule type="expression" dxfId="660" priority="20">
      <formula>$E$24="PSE"</formula>
    </cfRule>
  </conditionalFormatting>
  <conditionalFormatting sqref="A25:C25">
    <cfRule type="expression" dxfId="659" priority="19">
      <formula>$E$25="PSE"</formula>
    </cfRule>
  </conditionalFormatting>
  <conditionalFormatting sqref="A26:C26">
    <cfRule type="expression" dxfId="658" priority="18">
      <formula>$E$26="PSE"</formula>
    </cfRule>
  </conditionalFormatting>
  <conditionalFormatting sqref="A27:C27">
    <cfRule type="expression" dxfId="657" priority="17">
      <formula>$E$27="PSE"</formula>
    </cfRule>
  </conditionalFormatting>
  <conditionalFormatting sqref="A28:C28">
    <cfRule type="expression" dxfId="656" priority="16">
      <formula>$E$28="PSE"</formula>
    </cfRule>
  </conditionalFormatting>
  <conditionalFormatting sqref="A29:C29">
    <cfRule type="expression" dxfId="655" priority="15">
      <formula>$E$29="PSE"</formula>
    </cfRule>
  </conditionalFormatting>
  <conditionalFormatting sqref="A30:C30">
    <cfRule type="expression" dxfId="654" priority="14">
      <formula>$E$30="PSE"</formula>
    </cfRule>
  </conditionalFormatting>
  <conditionalFormatting sqref="A31:C31">
    <cfRule type="expression" dxfId="653" priority="13">
      <formula>$E$31="PSE"</formula>
    </cfRule>
  </conditionalFormatting>
  <conditionalFormatting sqref="A32:C32">
    <cfRule type="expression" dxfId="652" priority="12">
      <formula>$E$32="PSE"</formula>
    </cfRule>
  </conditionalFormatting>
  <conditionalFormatting sqref="A33:C33">
    <cfRule type="expression" dxfId="651" priority="11">
      <formula>$E$33="PSE"</formula>
    </cfRule>
  </conditionalFormatting>
  <conditionalFormatting sqref="A34:C34">
    <cfRule type="expression" dxfId="650" priority="10">
      <formula>$E$34="PSE"</formula>
    </cfRule>
  </conditionalFormatting>
  <conditionalFormatting sqref="A35:C35">
    <cfRule type="expression" dxfId="649" priority="9">
      <formula>$E$35="PSE"</formula>
    </cfRule>
  </conditionalFormatting>
  <conditionalFormatting sqref="A36:C36">
    <cfRule type="expression" dxfId="648" priority="8">
      <formula>$E$36="PSE"</formula>
    </cfRule>
  </conditionalFormatting>
  <conditionalFormatting sqref="A37:C37">
    <cfRule type="expression" dxfId="647" priority="7">
      <formula>$E$37="PSE"</formula>
    </cfRule>
  </conditionalFormatting>
  <conditionalFormatting sqref="B51">
    <cfRule type="cellIs" dxfId="646" priority="22" operator="lessThan">
      <formula>0</formula>
    </cfRule>
    <cfRule type="cellIs" dxfId="645" priority="23" operator="greaterThan">
      <formula>0</formula>
    </cfRule>
  </conditionalFormatting>
  <conditionalFormatting sqref="B55">
    <cfRule type="cellIs" dxfId="644" priority="5" operator="greaterThan">
      <formula>0</formula>
    </cfRule>
    <cfRule type="cellIs" dxfId="643" priority="6" operator="lessThan">
      <formula>0</formula>
    </cfRule>
  </conditionalFormatting>
  <conditionalFormatting sqref="D23:D41 B47">
    <cfRule type="cellIs" dxfId="642" priority="24" operator="lessThan">
      <formula>0</formula>
    </cfRule>
    <cfRule type="cellIs" dxfId="641" priority="25" operator="greaterThan">
      <formula>0</formula>
    </cfRule>
  </conditionalFormatting>
  <conditionalFormatting sqref="F58">
    <cfRule type="cellIs" dxfId="640" priority="3" operator="lessThan">
      <formula>0</formula>
    </cfRule>
    <cfRule type="cellIs" dxfId="639" priority="4" operator="greaterThan">
      <formula>0</formula>
    </cfRule>
  </conditionalFormatting>
  <conditionalFormatting sqref="I58">
    <cfRule type="cellIs" dxfId="638" priority="1" operator="lessThan">
      <formula>0</formula>
    </cfRule>
    <cfRule type="cellIs" dxfId="637" priority="2" operator="greaterThan">
      <formula>0</formula>
    </cfRule>
  </conditionalFormatting>
  <dataValidations count="4">
    <dataValidation type="list" allowBlank="1" showInputMessage="1" showErrorMessage="1" sqref="C5:C17" xr:uid="{7DC1BD1B-693F-48B1-A42C-565613A97AC4}">
      <formula1>$K$5:$K$10</formula1>
    </dataValidation>
    <dataValidation type="list" showInputMessage="1" showErrorMessage="1" sqref="E23:E37 E39:E41" xr:uid="{7DDB2838-3E7F-468D-9B89-75419135AF67}">
      <formula1>$K$12:$K$14</formula1>
    </dataValidation>
    <dataValidation type="list" allowBlank="1" showInputMessage="1" showErrorMessage="1" sqref="B53" xr:uid="{112C7ECB-1A1F-4B19-A3F3-A239E1DD29EF}">
      <formula1>$K$12:$K$14</formula1>
    </dataValidation>
    <dataValidation type="list" showInputMessage="1" showErrorMessage="1" sqref="B49" xr:uid="{634D1056-610E-46E4-AFA9-DBA02FFEB767}">
      <formula1>$K$5:$K$14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9681F-DA9F-472D-9A4B-754732E4CB43}">
  <sheetPr codeName="Hoja5"/>
  <dimension ref="A1:O58"/>
  <sheetViews>
    <sheetView topLeftCell="A21" workbookViewId="0">
      <selection activeCell="A46" sqref="A46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3.44140625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52</v>
      </c>
      <c r="B2" s="4" t="s">
        <v>87</v>
      </c>
      <c r="F2" s="28"/>
      <c r="G2" s="5" t="s">
        <v>24</v>
      </c>
      <c r="I2" s="5" t="str">
        <f>+$B$2</f>
        <v>BAQ-18288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46062</v>
      </c>
      <c r="B5" s="9">
        <v>45226000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45226000</v>
      </c>
      <c r="C20" s="6" t="s">
        <v>27</v>
      </c>
      <c r="D20" s="2">
        <f>+IF($A$47="SALDO A FAVOR",$B$20*0.004,($B$20+ABS($B$47))*0.004)</f>
        <v>180904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50</v>
      </c>
      <c r="B23" s="13"/>
      <c r="C23" s="14">
        <v>1000000</v>
      </c>
      <c r="D23" s="2">
        <f>+$B$20-C23</f>
        <v>44226000</v>
      </c>
      <c r="E23" s="2" t="s">
        <v>34</v>
      </c>
      <c r="F23" s="9" cm="1">
        <f t="array" ref="F23">+IF(E23=$K$11,0,_xlfn.IFS(E23=$K$12,$L$12,E23=$K$13,$L$13,E23=$K$14,$L$14))</f>
        <v>3900</v>
      </c>
    </row>
    <row r="24" spans="1:8" x14ac:dyDescent="0.3">
      <c r="A24" s="12" t="s">
        <v>68</v>
      </c>
      <c r="B24" s="13" t="s">
        <v>69</v>
      </c>
      <c r="C24" s="14">
        <v>2011341</v>
      </c>
      <c r="D24" s="2">
        <f>+D23-C24</f>
        <v>42214659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54</v>
      </c>
      <c r="B25" s="13" t="s">
        <v>70</v>
      </c>
      <c r="C25" s="14">
        <v>30854000</v>
      </c>
      <c r="D25" s="2">
        <f t="shared" ref="D25:D40" si="0">+D24-C25</f>
        <v>11360659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71</v>
      </c>
      <c r="B26" s="82">
        <v>103495171</v>
      </c>
      <c r="C26" s="14">
        <v>2216233</v>
      </c>
      <c r="D26" s="2">
        <f t="shared" si="0"/>
        <v>9144426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72</v>
      </c>
      <c r="B27" s="82">
        <v>103497198</v>
      </c>
      <c r="C27" s="14">
        <v>760283</v>
      </c>
      <c r="D27" s="2">
        <f t="shared" si="0"/>
        <v>8384143</v>
      </c>
      <c r="E27" s="2" t="s">
        <v>34</v>
      </c>
      <c r="F27" s="9" cm="1">
        <f t="array" ref="F27">+IF(E27=$K$11,0,_xlfn.IFS(E27=$K$12,$L$12,E27=$K$13,$L$13,E27=$K$14,$L$14))</f>
        <v>3900</v>
      </c>
    </row>
    <row r="28" spans="1:8" x14ac:dyDescent="0.3">
      <c r="A28" s="12" t="s">
        <v>74</v>
      </c>
      <c r="B28" s="13" t="s">
        <v>73</v>
      </c>
      <c r="C28" s="14">
        <v>175787</v>
      </c>
      <c r="D28" s="2">
        <f t="shared" si="0"/>
        <v>8208356</v>
      </c>
      <c r="E28" s="2" t="s">
        <v>34</v>
      </c>
      <c r="F28" s="9" cm="1">
        <f t="array" ref="F28">+IF(E28=$K$11,0,_xlfn.IFS(E28=$K$12,$L$12,E28=$K$13,$L$13,E28=$K$14,$L$14))</f>
        <v>3900</v>
      </c>
    </row>
    <row r="29" spans="1:8" x14ac:dyDescent="0.3">
      <c r="A29" s="12" t="s">
        <v>84</v>
      </c>
      <c r="B29" s="13"/>
      <c r="C29" s="14">
        <v>3500000</v>
      </c>
      <c r="D29" s="2">
        <f t="shared" si="0"/>
        <v>4708356</v>
      </c>
      <c r="E29" s="2" t="s">
        <v>34</v>
      </c>
      <c r="F29" s="9" cm="1">
        <f t="array" ref="F29">+IF(E29=$K$11,0,_xlfn.IFS(E29=$K$12,$L$12,E29=$K$13,$L$13,E29=$K$14,$L$14))</f>
        <v>3900</v>
      </c>
    </row>
    <row r="30" spans="1:8" x14ac:dyDescent="0.3">
      <c r="A30" s="12"/>
      <c r="B30" s="13"/>
      <c r="C30" s="14"/>
      <c r="D30" s="2">
        <f t="shared" si="0"/>
        <v>4708356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4708356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4708356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4708356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4708356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4708356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4708356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4708356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BAQ-18288</v>
      </c>
      <c r="C38" s="16">
        <v>200000</v>
      </c>
      <c r="D38" s="2">
        <f t="shared" si="0"/>
        <v>4508356</v>
      </c>
      <c r="E38" s="6" t="s">
        <v>12</v>
      </c>
      <c r="F38" s="9">
        <f>+SUM(F23:F37)+$D$18</f>
        <v>17550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4432356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180904</v>
      </c>
      <c r="D40" s="2">
        <f t="shared" si="0"/>
        <v>4251452</v>
      </c>
      <c r="F40" s="9"/>
    </row>
    <row r="41" spans="1:6" x14ac:dyDescent="0.3">
      <c r="A41" s="20" t="s">
        <v>20</v>
      </c>
      <c r="B41" s="21"/>
      <c r="C41" s="22">
        <f>+$F$38</f>
        <v>17550</v>
      </c>
      <c r="D41" s="2">
        <f>+D40-C41</f>
        <v>4233902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BAQ-18288</v>
      </c>
    </row>
    <row r="45" spans="1:6" x14ac:dyDescent="0.3">
      <c r="A45" s="25" t="s">
        <v>21</v>
      </c>
      <c r="B45" s="26">
        <v>46074</v>
      </c>
    </row>
    <row r="46" spans="1:6" x14ac:dyDescent="0.3">
      <c r="A46" s="25" t="s">
        <v>12</v>
      </c>
      <c r="B46" s="27">
        <v>41868042</v>
      </c>
    </row>
    <row r="47" spans="1:6" x14ac:dyDescent="0.3">
      <c r="A47" s="47" t="str">
        <f>+IF($B$47&gt;0,"SALDO A FAVOR","SALDO A CARGO")</f>
        <v>SALDO A FAVOR</v>
      </c>
      <c r="B47" s="48">
        <f>+$B$20-$B$46</f>
        <v>3357958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875944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875944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DO.BUN26-0026</v>
      </c>
      <c r="B58" s="39" t="str">
        <f>+$B$2</f>
        <v>BAQ-18288</v>
      </c>
      <c r="C58" s="56">
        <f>+$B$20</f>
        <v>45226000</v>
      </c>
      <c r="D58" s="57">
        <f>+$B$45</f>
        <v>46074</v>
      </c>
      <c r="E58" s="56">
        <f>+$B$46</f>
        <v>41868042</v>
      </c>
      <c r="F58" s="56">
        <f>+$B$47</f>
        <v>3357958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875944</v>
      </c>
      <c r="J58" s="39" t="str">
        <f>+IF($B$55&gt;0,"SALDO A FAVOR","SALDO A CARGO")</f>
        <v>SALDO A FAVOR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636" priority="21">
      <formula>$E$23="PSE"</formula>
    </cfRule>
  </conditionalFormatting>
  <conditionalFormatting sqref="A24:C24">
    <cfRule type="expression" dxfId="635" priority="20">
      <formula>$E$24="PSE"</formula>
    </cfRule>
  </conditionalFormatting>
  <conditionalFormatting sqref="A25:C25">
    <cfRule type="expression" dxfId="634" priority="19">
      <formula>$E$25="PSE"</formula>
    </cfRule>
  </conditionalFormatting>
  <conditionalFormatting sqref="A26:C26">
    <cfRule type="expression" dxfId="633" priority="18">
      <formula>$E$26="PSE"</formula>
    </cfRule>
  </conditionalFormatting>
  <conditionalFormatting sqref="A27:C27">
    <cfRule type="expression" dxfId="632" priority="17">
      <formula>$E$27="PSE"</formula>
    </cfRule>
  </conditionalFormatting>
  <conditionalFormatting sqref="A28:C28">
    <cfRule type="expression" dxfId="631" priority="16">
      <formula>$E$28="PSE"</formula>
    </cfRule>
  </conditionalFormatting>
  <conditionalFormatting sqref="A29:C29">
    <cfRule type="expression" dxfId="630" priority="15">
      <formula>$E$29="PSE"</formula>
    </cfRule>
  </conditionalFormatting>
  <conditionalFormatting sqref="A30:C30">
    <cfRule type="expression" dxfId="629" priority="14">
      <formula>$E$30="PSE"</formula>
    </cfRule>
  </conditionalFormatting>
  <conditionalFormatting sqref="A31:C31">
    <cfRule type="expression" dxfId="628" priority="13">
      <formula>$E$31="PSE"</formula>
    </cfRule>
  </conditionalFormatting>
  <conditionalFormatting sqref="A32:C32">
    <cfRule type="expression" dxfId="627" priority="12">
      <formula>$E$32="PSE"</formula>
    </cfRule>
  </conditionalFormatting>
  <conditionalFormatting sqref="A33:C33">
    <cfRule type="expression" dxfId="626" priority="11">
      <formula>$E$33="PSE"</formula>
    </cfRule>
  </conditionalFormatting>
  <conditionalFormatting sqref="A34:C34">
    <cfRule type="expression" dxfId="625" priority="10">
      <formula>$E$34="PSE"</formula>
    </cfRule>
  </conditionalFormatting>
  <conditionalFormatting sqref="A35:C35">
    <cfRule type="expression" dxfId="624" priority="9">
      <formula>$E$35="PSE"</formula>
    </cfRule>
  </conditionalFormatting>
  <conditionalFormatting sqref="A36:C36">
    <cfRule type="expression" dxfId="623" priority="8">
      <formula>$E$36="PSE"</formula>
    </cfRule>
  </conditionalFormatting>
  <conditionalFormatting sqref="A37:C37">
    <cfRule type="expression" dxfId="622" priority="7">
      <formula>$E$37="PSE"</formula>
    </cfRule>
  </conditionalFormatting>
  <conditionalFormatting sqref="B51">
    <cfRule type="cellIs" dxfId="621" priority="22" operator="lessThan">
      <formula>0</formula>
    </cfRule>
    <cfRule type="cellIs" dxfId="620" priority="23" operator="greaterThan">
      <formula>0</formula>
    </cfRule>
  </conditionalFormatting>
  <conditionalFormatting sqref="B55">
    <cfRule type="cellIs" dxfId="619" priority="5" operator="greaterThan">
      <formula>0</formula>
    </cfRule>
    <cfRule type="cellIs" dxfId="618" priority="6" operator="lessThan">
      <formula>0</formula>
    </cfRule>
  </conditionalFormatting>
  <conditionalFormatting sqref="D23:D41 B47">
    <cfRule type="cellIs" dxfId="617" priority="24" operator="lessThan">
      <formula>0</formula>
    </cfRule>
    <cfRule type="cellIs" dxfId="616" priority="25" operator="greaterThan">
      <formula>0</formula>
    </cfRule>
  </conditionalFormatting>
  <conditionalFormatting sqref="F58">
    <cfRule type="cellIs" dxfId="615" priority="3" operator="lessThan">
      <formula>0</formula>
    </cfRule>
    <cfRule type="cellIs" dxfId="614" priority="4" operator="greaterThan">
      <formula>0</formula>
    </cfRule>
  </conditionalFormatting>
  <conditionalFormatting sqref="I58">
    <cfRule type="cellIs" dxfId="613" priority="1" operator="lessThan">
      <formula>0</formula>
    </cfRule>
    <cfRule type="cellIs" dxfId="612" priority="2" operator="greaterThan">
      <formula>0</formula>
    </cfRule>
  </conditionalFormatting>
  <dataValidations count="4">
    <dataValidation type="list" showInputMessage="1" showErrorMessage="1" sqref="B49" xr:uid="{9DAF5084-8122-4867-8393-DF070BECADEC}">
      <formula1>$K$5:$K$14</formula1>
    </dataValidation>
    <dataValidation type="list" allowBlank="1" showInputMessage="1" showErrorMessage="1" sqref="B53" xr:uid="{946C6E8C-22C2-446A-A9AA-F86371E2E337}">
      <formula1>$K$12:$K$14</formula1>
    </dataValidation>
    <dataValidation type="list" showInputMessage="1" showErrorMessage="1" sqref="E23:E37 E39:E41" xr:uid="{9AB7C9D5-9005-4924-BE3F-1CE7A6F136BD}">
      <formula1>$K$12:$K$14</formula1>
    </dataValidation>
    <dataValidation type="list" allowBlank="1" showInputMessage="1" showErrorMessage="1" sqref="C5:C17" xr:uid="{663097D2-C366-416D-B6AE-D021E5019D85}">
      <formula1>$K$5:$K$10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5217E-761B-4743-977E-1CED456FDFAF}">
  <dimension ref="A1:O58"/>
  <sheetViews>
    <sheetView workbookViewId="0">
      <selection activeCell="C46" sqref="C46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202</v>
      </c>
      <c r="B2" s="4" t="s">
        <v>225</v>
      </c>
      <c r="F2" s="28"/>
      <c r="G2" s="5" t="s">
        <v>24</v>
      </c>
      <c r="I2" s="5" t="str">
        <f>+$B$2</f>
        <v>BAQ-18460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46149</v>
      </c>
      <c r="B5" s="9">
        <v>34712000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>
        <v>46149</v>
      </c>
      <c r="B6" s="9">
        <v>10877000</v>
      </c>
      <c r="C6" s="9" t="s">
        <v>6</v>
      </c>
      <c r="D6" s="9" cm="1">
        <f t="array" ref="D6">+IF(C6=$K$7,0,_xlfn.IFS(C6=$K$5,$L$5,C6=$K$6,$L$6,C6=$K$8,$L$8,C6=$K$9,$L$9,C6=$K$10,$L$10))</f>
        <v>1950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3900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45589000</v>
      </c>
      <c r="C20" s="6" t="s">
        <v>27</v>
      </c>
      <c r="D20" s="2">
        <f>+IF($A$47="SALDO A FAVOR",$B$20*0.004,($B$20+ABS($B$47))*0.004)</f>
        <v>182356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68</v>
      </c>
      <c r="B23" s="13" t="s">
        <v>203</v>
      </c>
      <c r="C23" s="14">
        <v>2017199</v>
      </c>
      <c r="D23" s="2">
        <f>+$B$20-C23</f>
        <v>43571801</v>
      </c>
      <c r="E23" s="2" t="s">
        <v>10</v>
      </c>
      <c r="F23" s="9" cm="1">
        <f t="array" ref="F23">+IF(E23=$K$11,0,_xlfn.IFS(E23=$K$12,$L$12,E23=$K$13,$L$13,E23=$K$14,$L$14))</f>
        <v>0</v>
      </c>
    </row>
    <row r="24" spans="1:8" x14ac:dyDescent="0.3">
      <c r="A24" s="12" t="s">
        <v>50</v>
      </c>
      <c r="B24" s="13"/>
      <c r="C24" s="14">
        <v>1200000</v>
      </c>
      <c r="D24" s="2">
        <f>+D23-C24</f>
        <v>42371801</v>
      </c>
      <c r="E24" s="2" t="s">
        <v>34</v>
      </c>
      <c r="F24" s="9" cm="1">
        <f t="array" ref="F24">+IF(E24=$K$11,0,_xlfn.IFS(E24=$K$12,$L$12,E24=$K$13,$L$13,E24=$K$14,$L$14))</f>
        <v>3900</v>
      </c>
    </row>
    <row r="25" spans="1:8" x14ac:dyDescent="0.3">
      <c r="A25" s="12" t="s">
        <v>71</v>
      </c>
      <c r="B25" s="82">
        <v>103550906</v>
      </c>
      <c r="C25" s="14">
        <v>2262170</v>
      </c>
      <c r="D25" s="2">
        <f t="shared" ref="D25:D40" si="0">+D24-C25</f>
        <v>40109631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54</v>
      </c>
      <c r="B26" s="13" t="s">
        <v>204</v>
      </c>
      <c r="C26" s="14">
        <v>1548000</v>
      </c>
      <c r="D26" s="2">
        <f t="shared" si="0"/>
        <v>38561631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54</v>
      </c>
      <c r="B27" s="13" t="s">
        <v>205</v>
      </c>
      <c r="C27" s="14">
        <v>28028000</v>
      </c>
      <c r="D27" s="2">
        <f t="shared" si="0"/>
        <v>10533631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54</v>
      </c>
      <c r="B28" s="13" t="s">
        <v>206</v>
      </c>
      <c r="C28" s="14">
        <v>1307000</v>
      </c>
      <c r="D28" s="2">
        <f t="shared" si="0"/>
        <v>9226631</v>
      </c>
      <c r="E28" s="2" t="s">
        <v>10</v>
      </c>
      <c r="F28" s="9" cm="1">
        <f t="array" ref="F28">+IF(E28=$K$11,0,_xlfn.IFS(E28=$K$12,$L$12,E28=$K$13,$L$13,E28=$K$14,$L$14))</f>
        <v>0</v>
      </c>
    </row>
    <row r="29" spans="1:8" x14ac:dyDescent="0.3">
      <c r="A29" s="12" t="s">
        <v>84</v>
      </c>
      <c r="B29" s="13"/>
      <c r="C29" s="14">
        <v>3500000</v>
      </c>
      <c r="D29" s="2">
        <f t="shared" si="0"/>
        <v>5726631</v>
      </c>
      <c r="E29" s="2" t="s">
        <v>34</v>
      </c>
      <c r="F29" s="9" cm="1">
        <f t="array" ref="F29">+IF(E29=$K$11,0,_xlfn.IFS(E29=$K$12,$L$12,E29=$K$13,$L$13,E29=$K$14,$L$14))</f>
        <v>3900</v>
      </c>
    </row>
    <row r="30" spans="1:8" x14ac:dyDescent="0.3">
      <c r="A30" s="12" t="s">
        <v>223</v>
      </c>
      <c r="B30" s="13" t="s">
        <v>224</v>
      </c>
      <c r="C30" s="14">
        <v>182641</v>
      </c>
      <c r="D30" s="2">
        <f t="shared" si="0"/>
        <v>5543990</v>
      </c>
      <c r="E30" s="2" t="s">
        <v>34</v>
      </c>
      <c r="F30" s="9" cm="1">
        <f t="array" ref="F30">+IF(E30=$K$11,0,_xlfn.IFS(E30=$K$12,$L$12,E30=$K$13,$L$13,E30=$K$14,$L$14))</f>
        <v>3900</v>
      </c>
    </row>
    <row r="31" spans="1:8" x14ac:dyDescent="0.3">
      <c r="A31" s="12"/>
      <c r="B31" s="13"/>
      <c r="C31" s="14"/>
      <c r="D31" s="2">
        <f t="shared" si="0"/>
        <v>5543990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5543990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5543990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5543990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5543990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5543990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5543990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BAQ-18460</v>
      </c>
      <c r="C38" s="16">
        <v>200000</v>
      </c>
      <c r="D38" s="2">
        <f t="shared" si="0"/>
        <v>5343990</v>
      </c>
      <c r="E38" s="6" t="s">
        <v>12</v>
      </c>
      <c r="F38" s="9">
        <f>+SUM(F23:F37)+$D$18</f>
        <v>15600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5267990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182356</v>
      </c>
      <c r="D40" s="2">
        <f t="shared" si="0"/>
        <v>5085634</v>
      </c>
      <c r="F40" s="9"/>
    </row>
    <row r="41" spans="1:6" x14ac:dyDescent="0.3">
      <c r="A41" s="20" t="s">
        <v>20</v>
      </c>
      <c r="B41" s="21"/>
      <c r="C41" s="22">
        <f>+$F$38</f>
        <v>15600</v>
      </c>
      <c r="D41" s="2">
        <f>+D40-C41</f>
        <v>5070034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BAQ-18460</v>
      </c>
    </row>
    <row r="45" spans="1:6" x14ac:dyDescent="0.3">
      <c r="A45" s="25" t="s">
        <v>21</v>
      </c>
      <c r="B45" s="26" t="s">
        <v>226</v>
      </c>
    </row>
    <row r="46" spans="1:6" x14ac:dyDescent="0.3">
      <c r="A46" s="25" t="s">
        <v>12</v>
      </c>
      <c r="B46" s="27">
        <v>41552788</v>
      </c>
    </row>
    <row r="47" spans="1:6" x14ac:dyDescent="0.3">
      <c r="A47" s="47" t="str">
        <f>+IF($B$47&gt;0,"SALDO A FAVOR","SALDO A CARGO")</f>
        <v>SALDO A FAVOR</v>
      </c>
      <c r="B47" s="48">
        <f>+$B$20-$B$46</f>
        <v>4036212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1033822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1033822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DO.BUN26-0098</v>
      </c>
      <c r="B58" s="39" t="str">
        <f>+$B$2</f>
        <v>BAQ-18460</v>
      </c>
      <c r="C58" s="56">
        <f>+$B$20</f>
        <v>45589000</v>
      </c>
      <c r="D58" s="57" t="str">
        <f>+$B$45</f>
        <v>16/X05/2026</v>
      </c>
      <c r="E58" s="56">
        <f>+$B$46</f>
        <v>41552788</v>
      </c>
      <c r="F58" s="56">
        <f>+$B$47</f>
        <v>4036212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1033822</v>
      </c>
      <c r="J58" s="39" t="str">
        <f>+IF($B$55&gt;0,"SALDO A FAVOR","SALDO A CARGO")</f>
        <v>SALDO A FAVOR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611" priority="21">
      <formula>$E$23="PSE"</formula>
    </cfRule>
  </conditionalFormatting>
  <conditionalFormatting sqref="A24:C24">
    <cfRule type="expression" dxfId="610" priority="20">
      <formula>$E$24="PSE"</formula>
    </cfRule>
  </conditionalFormatting>
  <conditionalFormatting sqref="A25:C25">
    <cfRule type="expression" dxfId="609" priority="19">
      <formula>$E$25="PSE"</formula>
    </cfRule>
  </conditionalFormatting>
  <conditionalFormatting sqref="A26:C26">
    <cfRule type="expression" dxfId="608" priority="18">
      <formula>$E$26="PSE"</formula>
    </cfRule>
  </conditionalFormatting>
  <conditionalFormatting sqref="A27:C27">
    <cfRule type="expression" dxfId="607" priority="17">
      <formula>$E$27="PSE"</formula>
    </cfRule>
  </conditionalFormatting>
  <conditionalFormatting sqref="A28:C28">
    <cfRule type="expression" dxfId="606" priority="16">
      <formula>$E$28="PSE"</formula>
    </cfRule>
  </conditionalFormatting>
  <conditionalFormatting sqref="A29:C29">
    <cfRule type="expression" dxfId="605" priority="15">
      <formula>$E$29="PSE"</formula>
    </cfRule>
  </conditionalFormatting>
  <conditionalFormatting sqref="A30:C30">
    <cfRule type="expression" dxfId="604" priority="14">
      <formula>$E$30="PSE"</formula>
    </cfRule>
  </conditionalFormatting>
  <conditionalFormatting sqref="A31:C31">
    <cfRule type="expression" dxfId="603" priority="13">
      <formula>$E$31="PSE"</formula>
    </cfRule>
  </conditionalFormatting>
  <conditionalFormatting sqref="A32:C32">
    <cfRule type="expression" dxfId="602" priority="12">
      <formula>$E$32="PSE"</formula>
    </cfRule>
  </conditionalFormatting>
  <conditionalFormatting sqref="A33:C33">
    <cfRule type="expression" dxfId="601" priority="11">
      <formula>$E$33="PSE"</formula>
    </cfRule>
  </conditionalFormatting>
  <conditionalFormatting sqref="A34:C34">
    <cfRule type="expression" dxfId="600" priority="10">
      <formula>$E$34="PSE"</formula>
    </cfRule>
  </conditionalFormatting>
  <conditionalFormatting sqref="A35:C35">
    <cfRule type="expression" dxfId="599" priority="9">
      <formula>$E$35="PSE"</formula>
    </cfRule>
  </conditionalFormatting>
  <conditionalFormatting sqref="A36:C36">
    <cfRule type="expression" dxfId="598" priority="8">
      <formula>$E$36="PSE"</formula>
    </cfRule>
  </conditionalFormatting>
  <conditionalFormatting sqref="A37:C37">
    <cfRule type="expression" dxfId="597" priority="7">
      <formula>$E$37="PSE"</formula>
    </cfRule>
  </conditionalFormatting>
  <conditionalFormatting sqref="B51">
    <cfRule type="cellIs" dxfId="596" priority="22" operator="lessThan">
      <formula>0</formula>
    </cfRule>
    <cfRule type="cellIs" dxfId="595" priority="23" operator="greaterThan">
      <formula>0</formula>
    </cfRule>
  </conditionalFormatting>
  <conditionalFormatting sqref="B55">
    <cfRule type="cellIs" dxfId="594" priority="5" operator="greaterThan">
      <formula>0</formula>
    </cfRule>
    <cfRule type="cellIs" dxfId="593" priority="6" operator="lessThan">
      <formula>0</formula>
    </cfRule>
  </conditionalFormatting>
  <conditionalFormatting sqref="D23:D41 B47">
    <cfRule type="cellIs" dxfId="592" priority="24" operator="lessThan">
      <formula>0</formula>
    </cfRule>
    <cfRule type="cellIs" dxfId="591" priority="25" operator="greaterThan">
      <formula>0</formula>
    </cfRule>
  </conditionalFormatting>
  <conditionalFormatting sqref="F58">
    <cfRule type="cellIs" dxfId="590" priority="3" operator="lessThan">
      <formula>0</formula>
    </cfRule>
    <cfRule type="cellIs" dxfId="589" priority="4" operator="greaterThan">
      <formula>0</formula>
    </cfRule>
  </conditionalFormatting>
  <conditionalFormatting sqref="I58">
    <cfRule type="cellIs" dxfId="588" priority="1" operator="lessThan">
      <formula>0</formula>
    </cfRule>
    <cfRule type="cellIs" dxfId="587" priority="2" operator="greaterThan">
      <formula>0</formula>
    </cfRule>
  </conditionalFormatting>
  <dataValidations count="4">
    <dataValidation type="list" showInputMessage="1" showErrorMessage="1" sqref="B49" xr:uid="{710D9D17-7222-4A51-9CB9-068AD15D6856}">
      <formula1>$K$5:$K$14</formula1>
    </dataValidation>
    <dataValidation type="list" allowBlank="1" showInputMessage="1" showErrorMessage="1" sqref="B53" xr:uid="{939E498B-4D55-4FEA-9DE6-8C51B4F94FC4}">
      <formula1>$K$12:$K$14</formula1>
    </dataValidation>
    <dataValidation type="list" showInputMessage="1" showErrorMessage="1" sqref="E23:E37 E39:E41" xr:uid="{821ACEC7-45A5-4A1A-A6DA-D5B929A74580}">
      <formula1>$K$12:$K$14</formula1>
    </dataValidation>
    <dataValidation type="list" allowBlank="1" showInputMessage="1" showErrorMessage="1" sqref="C5:C17" xr:uid="{2A21D7D9-14B1-42CE-8AB9-97A28C06246D}">
      <formula1>$K$5:$K$10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970F1-3898-4A20-A7BE-B00E1C4B9502}">
  <sheetPr codeName="Hoja3"/>
  <dimension ref="A1:O58"/>
  <sheetViews>
    <sheetView topLeftCell="A24" workbookViewId="0">
      <selection activeCell="D48" sqref="D48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3.88671875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49</v>
      </c>
      <c r="B2" s="4" t="s">
        <v>88</v>
      </c>
      <c r="F2" s="28"/>
      <c r="G2" s="5" t="s">
        <v>24</v>
      </c>
      <c r="I2" s="5" t="str">
        <f>+$B$2</f>
        <v>BAQ-18322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46060</v>
      </c>
      <c r="B5" s="9">
        <v>28992000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28992000</v>
      </c>
      <c r="C20" s="6" t="s">
        <v>27</v>
      </c>
      <c r="D20" s="2">
        <f>+IF($A$47="SALDO A FAVOR",$B$20*0.004,($B$20+ABS($B$47))*0.004)</f>
        <v>115968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50</v>
      </c>
      <c r="B23" s="13"/>
      <c r="C23" s="14">
        <v>1000000</v>
      </c>
      <c r="D23" s="2">
        <f>+$B$20-C23</f>
        <v>27992000</v>
      </c>
      <c r="E23" s="2" t="s">
        <v>34</v>
      </c>
      <c r="F23" s="9" cm="1">
        <f t="array" ref="F23">+IF(E23=$K$11,0,_xlfn.IFS(E23=$K$12,$L$12,E23=$K$13,$L$13,E23=$K$14,$L$14))</f>
        <v>3900</v>
      </c>
    </row>
    <row r="24" spans="1:8" x14ac:dyDescent="0.3">
      <c r="A24" s="12" t="s">
        <v>54</v>
      </c>
      <c r="B24" s="13" t="s">
        <v>55</v>
      </c>
      <c r="C24" s="14">
        <v>16967000</v>
      </c>
      <c r="D24" s="2">
        <f>+D23-C24</f>
        <v>11025000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62</v>
      </c>
      <c r="B25" s="13" t="s">
        <v>63</v>
      </c>
      <c r="C25" s="14">
        <v>1477335.8</v>
      </c>
      <c r="D25" s="2">
        <f t="shared" ref="D25:D40" si="0">+D24-C25</f>
        <v>9547664.1999999993</v>
      </c>
      <c r="E25" s="2" t="s">
        <v>35</v>
      </c>
      <c r="F25" s="9" cm="1">
        <f t="array" ref="F25">+IF(E25=$K$11,0,_xlfn.IFS(E25=$K$12,$L$12,E25=$K$13,$L$13,E25=$K$14,$L$14))</f>
        <v>7300</v>
      </c>
    </row>
    <row r="26" spans="1:8" x14ac:dyDescent="0.3">
      <c r="A26" s="12" t="s">
        <v>64</v>
      </c>
      <c r="B26" s="13" t="s">
        <v>63</v>
      </c>
      <c r="C26" s="14">
        <v>140591</v>
      </c>
      <c r="D26" s="2">
        <f t="shared" si="0"/>
        <v>9407073.1999999993</v>
      </c>
      <c r="E26" s="2" t="s">
        <v>35</v>
      </c>
      <c r="F26" s="9" cm="1">
        <f t="array" ref="F26">+IF(E26=$K$11,0,_xlfn.IFS(E26=$K$12,$L$12,E26=$K$13,$L$13,E26=$K$14,$L$14))</f>
        <v>7300</v>
      </c>
    </row>
    <row r="27" spans="1:8" x14ac:dyDescent="0.3">
      <c r="A27" s="12" t="s">
        <v>65</v>
      </c>
      <c r="B27" s="13" t="s">
        <v>66</v>
      </c>
      <c r="C27" s="14">
        <v>4238248</v>
      </c>
      <c r="D27" s="2">
        <f t="shared" si="0"/>
        <v>5168825.1999999993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65</v>
      </c>
      <c r="B28" s="13" t="s">
        <v>67</v>
      </c>
      <c r="C28" s="14">
        <v>1092376</v>
      </c>
      <c r="D28" s="2">
        <f t="shared" si="0"/>
        <v>4076449.1999999993</v>
      </c>
      <c r="E28" s="2" t="s">
        <v>10</v>
      </c>
      <c r="F28" s="9" cm="1">
        <f t="array" ref="F28">+IF(E28=$K$11,0,_xlfn.IFS(E28=$K$12,$L$12,E28=$K$13,$L$13,E28=$K$14,$L$14))</f>
        <v>0</v>
      </c>
    </row>
    <row r="29" spans="1:8" x14ac:dyDescent="0.3">
      <c r="A29" s="12" t="s">
        <v>84</v>
      </c>
      <c r="B29" s="13"/>
      <c r="C29" s="14">
        <v>1150000</v>
      </c>
      <c r="D29" s="2">
        <f t="shared" si="0"/>
        <v>2926449.1999999993</v>
      </c>
      <c r="E29" s="2" t="s">
        <v>34</v>
      </c>
      <c r="F29" s="9" cm="1">
        <f t="array" ref="F29">+IF(E29=$K$11,0,_xlfn.IFS(E29=$K$12,$L$12,E29=$K$13,$L$13,E29=$K$14,$L$14))</f>
        <v>3900</v>
      </c>
    </row>
    <row r="30" spans="1:8" x14ac:dyDescent="0.3">
      <c r="A30" s="12"/>
      <c r="B30" s="13"/>
      <c r="C30" s="14"/>
      <c r="D30" s="2">
        <f t="shared" si="0"/>
        <v>2926449.1999999993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2926449.1999999993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2926449.1999999993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2926449.1999999993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2926449.1999999993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2926449.1999999993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2926449.1999999993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2926449.1999999993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BAQ-18322</v>
      </c>
      <c r="C38" s="16">
        <v>150000</v>
      </c>
      <c r="D38" s="2">
        <f t="shared" si="0"/>
        <v>2776449.1999999993</v>
      </c>
      <c r="E38" s="6" t="s">
        <v>12</v>
      </c>
      <c r="F38" s="9">
        <f>+SUM(F23:F37)+$D$18</f>
        <v>24350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2700449.1999999993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115968</v>
      </c>
      <c r="D40" s="2">
        <f t="shared" si="0"/>
        <v>2584481.1999999993</v>
      </c>
      <c r="F40" s="9"/>
    </row>
    <row r="41" spans="1:6" x14ac:dyDescent="0.3">
      <c r="A41" s="20" t="s">
        <v>20</v>
      </c>
      <c r="B41" s="21"/>
      <c r="C41" s="22">
        <f>+$F$38</f>
        <v>24350</v>
      </c>
      <c r="D41" s="2">
        <f>+D40-C41</f>
        <v>2560131.1999999993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BAQ-18322</v>
      </c>
    </row>
    <row r="45" spans="1:6" x14ac:dyDescent="0.3">
      <c r="A45" s="25" t="s">
        <v>21</v>
      </c>
      <c r="B45" s="26">
        <v>46079</v>
      </c>
    </row>
    <row r="46" spans="1:6" x14ac:dyDescent="0.3">
      <c r="A46" s="25" t="s">
        <v>12</v>
      </c>
      <c r="B46" s="27">
        <v>26347628</v>
      </c>
    </row>
    <row r="47" spans="1:6" x14ac:dyDescent="0.3">
      <c r="A47" s="47" t="str">
        <f>+IF($B$47&gt;0,"SALDO A FAVOR","SALDO A CARGO")</f>
        <v>SALDO A FAVOR</v>
      </c>
      <c r="B47" s="48">
        <f>+$B$20-$B$46</f>
        <v>2644372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-84240.800000000745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-84240.800000000745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DO.CTG26-0028</v>
      </c>
      <c r="B58" s="39" t="str">
        <f>+$B$2</f>
        <v>BAQ-18322</v>
      </c>
      <c r="C58" s="56">
        <f>+$B$20</f>
        <v>28992000</v>
      </c>
      <c r="D58" s="57">
        <f>+$B$45</f>
        <v>46079</v>
      </c>
      <c r="E58" s="56">
        <f>+$B$46</f>
        <v>26347628</v>
      </c>
      <c r="F58" s="56">
        <f>+$B$47</f>
        <v>2644372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-84240.800000000745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586" priority="21">
      <formula>$E$23="PSE"</formula>
    </cfRule>
  </conditionalFormatting>
  <conditionalFormatting sqref="A24:C24">
    <cfRule type="expression" dxfId="585" priority="20">
      <formula>$E$24="PSE"</formula>
    </cfRule>
  </conditionalFormatting>
  <conditionalFormatting sqref="A25:C25">
    <cfRule type="expression" dxfId="584" priority="19">
      <formula>$E$25="PSE"</formula>
    </cfRule>
  </conditionalFormatting>
  <conditionalFormatting sqref="A26:C26">
    <cfRule type="expression" dxfId="583" priority="18">
      <formula>$E$26="PSE"</formula>
    </cfRule>
  </conditionalFormatting>
  <conditionalFormatting sqref="A27:C27">
    <cfRule type="expression" dxfId="582" priority="17">
      <formula>$E$27="PSE"</formula>
    </cfRule>
  </conditionalFormatting>
  <conditionalFormatting sqref="A28:C28">
    <cfRule type="expression" dxfId="581" priority="16">
      <formula>$E$28="PSE"</formula>
    </cfRule>
  </conditionalFormatting>
  <conditionalFormatting sqref="A29:C29">
    <cfRule type="expression" dxfId="580" priority="15">
      <formula>$E$29="PSE"</formula>
    </cfRule>
  </conditionalFormatting>
  <conditionalFormatting sqref="A30:C30">
    <cfRule type="expression" dxfId="579" priority="14">
      <formula>$E$30="PSE"</formula>
    </cfRule>
  </conditionalFormatting>
  <conditionalFormatting sqref="A31:C31">
    <cfRule type="expression" dxfId="578" priority="13">
      <formula>$E$31="PSE"</formula>
    </cfRule>
  </conditionalFormatting>
  <conditionalFormatting sqref="A32:C32">
    <cfRule type="expression" dxfId="577" priority="12">
      <formula>$E$32="PSE"</formula>
    </cfRule>
  </conditionalFormatting>
  <conditionalFormatting sqref="A33:C33">
    <cfRule type="expression" dxfId="576" priority="11">
      <formula>$E$33="PSE"</formula>
    </cfRule>
  </conditionalFormatting>
  <conditionalFormatting sqref="A34:C34">
    <cfRule type="expression" dxfId="575" priority="10">
      <formula>$E$34="PSE"</formula>
    </cfRule>
  </conditionalFormatting>
  <conditionalFormatting sqref="A35:C35">
    <cfRule type="expression" dxfId="574" priority="9">
      <formula>$E$35="PSE"</formula>
    </cfRule>
  </conditionalFormatting>
  <conditionalFormatting sqref="A36:C36">
    <cfRule type="expression" dxfId="573" priority="8">
      <formula>$E$36="PSE"</formula>
    </cfRule>
  </conditionalFormatting>
  <conditionalFormatting sqref="A37:C37">
    <cfRule type="expression" dxfId="572" priority="7">
      <formula>$E$37="PSE"</formula>
    </cfRule>
  </conditionalFormatting>
  <conditionalFormatting sqref="B51">
    <cfRule type="cellIs" dxfId="571" priority="22" operator="lessThan">
      <formula>0</formula>
    </cfRule>
    <cfRule type="cellIs" dxfId="570" priority="23" operator="greaterThan">
      <formula>0</formula>
    </cfRule>
  </conditionalFormatting>
  <conditionalFormatting sqref="B55">
    <cfRule type="cellIs" dxfId="569" priority="5" operator="greaterThan">
      <formula>0</formula>
    </cfRule>
    <cfRule type="cellIs" dxfId="568" priority="6" operator="lessThan">
      <formula>0</formula>
    </cfRule>
  </conditionalFormatting>
  <conditionalFormatting sqref="D23:D41 B47">
    <cfRule type="cellIs" dxfId="567" priority="24" operator="lessThan">
      <formula>0</formula>
    </cfRule>
    <cfRule type="cellIs" dxfId="566" priority="25" operator="greaterThan">
      <formula>0</formula>
    </cfRule>
  </conditionalFormatting>
  <conditionalFormatting sqref="F58">
    <cfRule type="cellIs" dxfId="565" priority="3" operator="lessThan">
      <formula>0</formula>
    </cfRule>
    <cfRule type="cellIs" dxfId="564" priority="4" operator="greaterThan">
      <formula>0</formula>
    </cfRule>
  </conditionalFormatting>
  <conditionalFormatting sqref="I58">
    <cfRule type="cellIs" dxfId="563" priority="1" operator="lessThan">
      <formula>0</formula>
    </cfRule>
    <cfRule type="cellIs" dxfId="562" priority="2" operator="greaterThan">
      <formula>0</formula>
    </cfRule>
  </conditionalFormatting>
  <dataValidations count="4">
    <dataValidation type="list" allowBlank="1" showInputMessage="1" showErrorMessage="1" sqref="C5:C17" xr:uid="{3913F0E4-7BEB-4FAD-BDA9-904E9BBB8D80}">
      <formula1>$K$5:$K$10</formula1>
    </dataValidation>
    <dataValidation type="list" showInputMessage="1" showErrorMessage="1" sqref="E23:E37 E39:E41" xr:uid="{E3B13338-D67F-46EC-BB4C-7A0573C9D9CA}">
      <formula1>$K$12:$K$14</formula1>
    </dataValidation>
    <dataValidation type="list" allowBlank="1" showInputMessage="1" showErrorMessage="1" sqref="B53" xr:uid="{F403F6F4-D617-42C4-B062-44DE3E0F3792}">
      <formula1>$K$12:$K$14</formula1>
    </dataValidation>
    <dataValidation type="list" showInputMessage="1" showErrorMessage="1" sqref="B49" xr:uid="{A11E5BE8-99DC-4E2F-9329-AFF693CADB4F}">
      <formula1>$K$5:$K$14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9296A-598E-49E8-8CF1-9D0EE0854A3B}">
  <sheetPr codeName="Hoja4"/>
  <dimension ref="A1:O58"/>
  <sheetViews>
    <sheetView topLeftCell="A21" workbookViewId="0">
      <selection activeCell="C32" sqref="C32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3.88671875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51</v>
      </c>
      <c r="B2" s="4" t="s">
        <v>85</v>
      </c>
      <c r="F2" s="28"/>
      <c r="G2" s="5" t="s">
        <v>24</v>
      </c>
      <c r="I2" s="5" t="str">
        <f>+$B$2</f>
        <v>BAQ-18286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93">
        <v>46060</v>
      </c>
      <c r="B5" s="9">
        <v>1008000</v>
      </c>
      <c r="C5" s="9"/>
      <c r="D5" s="9" cm="1">
        <f t="array" ref="D5">+IF(C5=$K$7,0,_xlfn.IFS(C5=$K$5,$L$5,C5=$K$6,$L$6,C5=$K$8,$L$8,C5=$K$9,$L$9,C5=$K$10,$L$10))</f>
        <v>0</v>
      </c>
      <c r="E5" s="9"/>
      <c r="K5" s="30" t="s">
        <v>6</v>
      </c>
      <c r="L5" s="30">
        <v>1950</v>
      </c>
    </row>
    <row r="6" spans="1:15" x14ac:dyDescent="0.3">
      <c r="A6" s="93"/>
      <c r="B6" s="9">
        <v>1008000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>
        <v>46061</v>
      </c>
      <c r="B7" s="9">
        <v>30000000</v>
      </c>
      <c r="C7" s="9" t="s">
        <v>6</v>
      </c>
      <c r="D7" s="9" cm="1">
        <f t="array" ref="D7">+IF(C7=$K$7,0,_xlfn.IFS(C7=$K$5,$L$5,C7=$K$6,$L$6,C7=$K$8,$L$8,C7=$K$9,$L$9,C7=$K$10,$L$10))</f>
        <v>1950</v>
      </c>
      <c r="E7" s="9"/>
      <c r="K7" s="33"/>
      <c r="L7" s="34" t="s">
        <v>5</v>
      </c>
      <c r="N7" s="11"/>
      <c r="O7" s="11"/>
    </row>
    <row r="8" spans="1:15" x14ac:dyDescent="0.3">
      <c r="A8" s="8">
        <v>46062</v>
      </c>
      <c r="B8" s="9">
        <v>1985700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  <c r="F18" s="2">
        <f>+C27+C28</f>
        <v>4784436</v>
      </c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34001700</v>
      </c>
      <c r="C20" s="6" t="s">
        <v>27</v>
      </c>
      <c r="D20" s="2">
        <f>+IF($A$47="SALDO A FAVOR",$B$20*0.004,($B$20+ABS($B$47))*0.004)</f>
        <v>136006.79999999999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50</v>
      </c>
      <c r="B23" s="13"/>
      <c r="C23" s="14">
        <v>1000000</v>
      </c>
      <c r="D23" s="2">
        <f>+$B$20-C23</f>
        <v>33001700</v>
      </c>
      <c r="E23" s="2" t="s">
        <v>34</v>
      </c>
      <c r="F23" s="9" cm="1">
        <f t="array" ref="F23">+IF(E23=$K$11,0,_xlfn.IFS(E23=$K$12,$L$12,E23=$K$13,$L$13,E23=$K$14,$L$14))</f>
        <v>3900</v>
      </c>
    </row>
    <row r="24" spans="1:8" x14ac:dyDescent="0.3">
      <c r="A24" s="12" t="s">
        <v>54</v>
      </c>
      <c r="B24" s="13" t="s">
        <v>60</v>
      </c>
      <c r="C24" s="14">
        <v>16967000</v>
      </c>
      <c r="D24" s="2">
        <f>+D23-C24</f>
        <v>16034700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75</v>
      </c>
      <c r="B25" s="13" t="s">
        <v>76</v>
      </c>
      <c r="C25" s="14">
        <v>5297995</v>
      </c>
      <c r="D25" s="2">
        <f t="shared" ref="D25:D40" si="0">+D24-C25</f>
        <v>10736705</v>
      </c>
      <c r="E25" s="2" t="s">
        <v>35</v>
      </c>
      <c r="F25" s="9" cm="1">
        <f t="array" ref="F25">+IF(E25=$K$11,0,_xlfn.IFS(E25=$K$12,$L$12,E25=$K$13,$L$13,E25=$K$14,$L$14))</f>
        <v>7300</v>
      </c>
    </row>
    <row r="26" spans="1:8" x14ac:dyDescent="0.3">
      <c r="A26" s="12" t="s">
        <v>77</v>
      </c>
      <c r="B26" s="13" t="s">
        <v>78</v>
      </c>
      <c r="C26" s="14">
        <v>1093740</v>
      </c>
      <c r="D26" s="2">
        <f t="shared" si="0"/>
        <v>9642965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65</v>
      </c>
      <c r="B27" s="13" t="s">
        <v>79</v>
      </c>
      <c r="C27" s="14">
        <v>4238248</v>
      </c>
      <c r="D27" s="2">
        <f t="shared" si="0"/>
        <v>5404717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65</v>
      </c>
      <c r="B28" s="13" t="s">
        <v>80</v>
      </c>
      <c r="C28" s="14">
        <v>546188</v>
      </c>
      <c r="D28" s="2">
        <f t="shared" si="0"/>
        <v>4858529</v>
      </c>
      <c r="E28" s="2" t="s">
        <v>10</v>
      </c>
      <c r="F28" s="9" cm="1">
        <f t="array" ref="F28">+IF(E28=$K$11,0,_xlfn.IFS(E28=$K$12,$L$12,E28=$K$13,$L$13,E28=$K$14,$L$14))</f>
        <v>0</v>
      </c>
    </row>
    <row r="29" spans="1:8" x14ac:dyDescent="0.3">
      <c r="A29" s="12" t="s">
        <v>84</v>
      </c>
      <c r="B29" s="13"/>
      <c r="C29" s="14">
        <v>1150000</v>
      </c>
      <c r="D29" s="2">
        <f t="shared" si="0"/>
        <v>3708529</v>
      </c>
      <c r="E29" s="2" t="s">
        <v>34</v>
      </c>
      <c r="F29" s="9" cm="1">
        <f t="array" ref="F29">+IF(E29=$K$11,0,_xlfn.IFS(E29=$K$12,$L$12,E29=$K$13,$L$13,E29=$K$14,$L$14))</f>
        <v>3900</v>
      </c>
    </row>
    <row r="30" spans="1:8" x14ac:dyDescent="0.3">
      <c r="A30" s="12"/>
      <c r="B30" s="13"/>
      <c r="C30" s="14"/>
      <c r="D30" s="2">
        <f t="shared" si="0"/>
        <v>3708529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3708529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3708529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3708529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3708529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3708529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3708529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3708529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BAQ-18286</v>
      </c>
      <c r="C38" s="16">
        <v>150000</v>
      </c>
      <c r="D38" s="2">
        <f t="shared" si="0"/>
        <v>3558529</v>
      </c>
      <c r="E38" s="6" t="s">
        <v>12</v>
      </c>
      <c r="F38" s="9">
        <f>+SUM(F23:F37)+$D$18</f>
        <v>17050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3482529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136006.79999999999</v>
      </c>
      <c r="D40" s="2">
        <f t="shared" si="0"/>
        <v>3346522.2</v>
      </c>
      <c r="F40" s="9"/>
    </row>
    <row r="41" spans="1:6" x14ac:dyDescent="0.3">
      <c r="A41" s="20" t="s">
        <v>20</v>
      </c>
      <c r="B41" s="21"/>
      <c r="C41" s="22">
        <f>+$F$38</f>
        <v>17050</v>
      </c>
      <c r="D41" s="2">
        <f>+D40-C41</f>
        <v>3329472.2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BAQ-18286</v>
      </c>
    </row>
    <row r="45" spans="1:6" x14ac:dyDescent="0.3">
      <c r="A45" s="25" t="s">
        <v>21</v>
      </c>
      <c r="B45" s="26">
        <v>46074</v>
      </c>
    </row>
    <row r="46" spans="1:6" x14ac:dyDescent="0.3">
      <c r="A46" s="25" t="s">
        <v>12</v>
      </c>
      <c r="B46" s="27">
        <v>30592159</v>
      </c>
    </row>
    <row r="47" spans="1:6" x14ac:dyDescent="0.3">
      <c r="A47" s="47" t="str">
        <f>+IF($B$47&gt;0,"SALDO A FAVOR","SALDO A CARGO")</f>
        <v>SALDO A FAVOR</v>
      </c>
      <c r="B47" s="48">
        <f>+$B$20-$B$46</f>
        <v>3409541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-80068.799999999814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-80068.799999999814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DO.CTG26-0032</v>
      </c>
      <c r="B58" s="39" t="str">
        <f>+$B$2</f>
        <v>BAQ-18286</v>
      </c>
      <c r="C58" s="56">
        <f>+$B$20</f>
        <v>34001700</v>
      </c>
      <c r="D58" s="57">
        <f>+$B$45</f>
        <v>46074</v>
      </c>
      <c r="E58" s="56">
        <f>+$B$46</f>
        <v>30592159</v>
      </c>
      <c r="F58" s="56">
        <f>+$B$47</f>
        <v>3409541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-80068.799999999814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3">
    <mergeCell ref="K3:L3"/>
    <mergeCell ref="B38:B39"/>
    <mergeCell ref="A5:A6"/>
  </mergeCells>
  <conditionalFormatting sqref="A23:C23">
    <cfRule type="expression" dxfId="561" priority="21">
      <formula>$E$23="PSE"</formula>
    </cfRule>
  </conditionalFormatting>
  <conditionalFormatting sqref="A24:C24">
    <cfRule type="expression" dxfId="560" priority="20">
      <formula>$E$24="PSE"</formula>
    </cfRule>
  </conditionalFormatting>
  <conditionalFormatting sqref="A25:C25">
    <cfRule type="expression" dxfId="559" priority="19">
      <formula>$E$25="PSE"</formula>
    </cfRule>
  </conditionalFormatting>
  <conditionalFormatting sqref="A26:C26">
    <cfRule type="expression" dxfId="558" priority="18">
      <formula>$E$26="PSE"</formula>
    </cfRule>
  </conditionalFormatting>
  <conditionalFormatting sqref="A27:C27">
    <cfRule type="expression" dxfId="557" priority="17">
      <formula>$E$27="PSE"</formula>
    </cfRule>
  </conditionalFormatting>
  <conditionalFormatting sqref="A28:C28">
    <cfRule type="expression" dxfId="556" priority="16">
      <formula>$E$28="PSE"</formula>
    </cfRule>
  </conditionalFormatting>
  <conditionalFormatting sqref="A29:C29">
    <cfRule type="expression" dxfId="555" priority="15">
      <formula>$E$29="PSE"</formula>
    </cfRule>
  </conditionalFormatting>
  <conditionalFormatting sqref="A30:C30">
    <cfRule type="expression" dxfId="554" priority="14">
      <formula>$E$30="PSE"</formula>
    </cfRule>
  </conditionalFormatting>
  <conditionalFormatting sqref="A31:C31">
    <cfRule type="expression" dxfId="553" priority="13">
      <formula>$E$31="PSE"</formula>
    </cfRule>
  </conditionalFormatting>
  <conditionalFormatting sqref="A32:C32">
    <cfRule type="expression" dxfId="552" priority="12">
      <formula>$E$32="PSE"</formula>
    </cfRule>
  </conditionalFormatting>
  <conditionalFormatting sqref="A33:C33">
    <cfRule type="expression" dxfId="551" priority="11">
      <formula>$E$33="PSE"</formula>
    </cfRule>
  </conditionalFormatting>
  <conditionalFormatting sqref="A34:C34">
    <cfRule type="expression" dxfId="550" priority="10">
      <formula>$E$34="PSE"</formula>
    </cfRule>
  </conditionalFormatting>
  <conditionalFormatting sqref="A35:C35">
    <cfRule type="expression" dxfId="549" priority="9">
      <formula>$E$35="PSE"</formula>
    </cfRule>
  </conditionalFormatting>
  <conditionalFormatting sqref="A36:C36">
    <cfRule type="expression" dxfId="548" priority="8">
      <formula>$E$36="PSE"</formula>
    </cfRule>
  </conditionalFormatting>
  <conditionalFormatting sqref="A37:C37">
    <cfRule type="expression" dxfId="547" priority="7">
      <formula>$E$37="PSE"</formula>
    </cfRule>
  </conditionalFormatting>
  <conditionalFormatting sqref="B51">
    <cfRule type="cellIs" dxfId="546" priority="22" operator="lessThan">
      <formula>0</formula>
    </cfRule>
    <cfRule type="cellIs" dxfId="545" priority="23" operator="greaterThan">
      <formula>0</formula>
    </cfRule>
  </conditionalFormatting>
  <conditionalFormatting sqref="B55">
    <cfRule type="cellIs" dxfId="544" priority="5" operator="greaterThan">
      <formula>0</formula>
    </cfRule>
    <cfRule type="cellIs" dxfId="543" priority="6" operator="lessThan">
      <formula>0</formula>
    </cfRule>
  </conditionalFormatting>
  <conditionalFormatting sqref="D23:D41 B47">
    <cfRule type="cellIs" dxfId="542" priority="24" operator="lessThan">
      <formula>0</formula>
    </cfRule>
    <cfRule type="cellIs" dxfId="541" priority="25" operator="greaterThan">
      <formula>0</formula>
    </cfRule>
  </conditionalFormatting>
  <conditionalFormatting sqref="F58">
    <cfRule type="cellIs" dxfId="540" priority="3" operator="lessThan">
      <formula>0</formula>
    </cfRule>
    <cfRule type="cellIs" dxfId="539" priority="4" operator="greaterThan">
      <formula>0</formula>
    </cfRule>
  </conditionalFormatting>
  <conditionalFormatting sqref="I58">
    <cfRule type="cellIs" dxfId="538" priority="1" operator="lessThan">
      <formula>0</formula>
    </cfRule>
    <cfRule type="cellIs" dxfId="537" priority="2" operator="greaterThan">
      <formula>0</formula>
    </cfRule>
  </conditionalFormatting>
  <dataValidations count="4">
    <dataValidation type="list" showInputMessage="1" showErrorMessage="1" sqref="B49" xr:uid="{E255C4D0-6F7B-4ABE-BAD0-4ED9467BDC33}">
      <formula1>$K$5:$K$14</formula1>
    </dataValidation>
    <dataValidation type="list" allowBlank="1" showInputMessage="1" showErrorMessage="1" sqref="B53" xr:uid="{12E78F74-A9FC-4316-8127-A38FF116C325}">
      <formula1>$K$12:$K$14</formula1>
    </dataValidation>
    <dataValidation type="list" showInputMessage="1" showErrorMessage="1" sqref="E23:E37 E39:E41" xr:uid="{ABB36DC7-4ED1-4084-90ED-09F682F32C18}">
      <formula1>$K$12:$K$14</formula1>
    </dataValidation>
    <dataValidation type="list" allowBlank="1" showInputMessage="1" showErrorMessage="1" sqref="C5:C17" xr:uid="{00369C78-7F46-4102-A4A9-5973D70A78D5}">
      <formula1>$K$5:$K$10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0BD82-5C8B-4364-8226-206DCB58D35F}">
  <sheetPr codeName="Hoja6"/>
  <dimension ref="A1:O58"/>
  <sheetViews>
    <sheetView topLeftCell="A21" workbookViewId="0">
      <selection activeCell="B32" sqref="B32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3.88671875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53</v>
      </c>
      <c r="B2" s="4" t="s">
        <v>86</v>
      </c>
      <c r="F2" s="28"/>
      <c r="G2" s="5" t="s">
        <v>24</v>
      </c>
      <c r="I2" s="5" t="str">
        <f>+$B$2</f>
        <v>BAQ-18287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46060</v>
      </c>
      <c r="B5" s="9">
        <v>28992000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28992000</v>
      </c>
      <c r="C20" s="6" t="s">
        <v>27</v>
      </c>
      <c r="D20" s="2">
        <f>+IF($A$47="SALDO A FAVOR",$B$20*0.004,($B$20+ABS($B$47))*0.004)</f>
        <v>115968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50</v>
      </c>
      <c r="B23" s="13"/>
      <c r="C23" s="14">
        <v>1000000</v>
      </c>
      <c r="D23" s="2">
        <f>+$B$20-C23</f>
        <v>27992000</v>
      </c>
      <c r="E23" s="2" t="s">
        <v>34</v>
      </c>
      <c r="F23" s="9" cm="1">
        <f t="array" ref="F23">+IF(E23=$K$11,0,_xlfn.IFS(E23=$K$12,$L$12,E23=$K$13,$L$13,E23=$K$14,$L$14))</f>
        <v>3900</v>
      </c>
    </row>
    <row r="24" spans="1:8" x14ac:dyDescent="0.3">
      <c r="A24" s="12" t="s">
        <v>64</v>
      </c>
      <c r="B24" s="13" t="s">
        <v>81</v>
      </c>
      <c r="C24" s="14">
        <v>141315</v>
      </c>
      <c r="D24" s="2">
        <f>+D23-C24</f>
        <v>27850685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62</v>
      </c>
      <c r="B25" s="13" t="s">
        <v>81</v>
      </c>
      <c r="C25" s="14">
        <v>1484974.7</v>
      </c>
      <c r="D25" s="2">
        <f t="shared" ref="D25:D40" si="0">+D24-C25</f>
        <v>26365710.300000001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54</v>
      </c>
      <c r="B26" s="13" t="s">
        <v>82</v>
      </c>
      <c r="C26" s="14">
        <v>16967000</v>
      </c>
      <c r="D26" s="2">
        <f t="shared" si="0"/>
        <v>9398710.3000000007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65</v>
      </c>
      <c r="B27" s="13" t="s">
        <v>83</v>
      </c>
      <c r="C27" s="14">
        <v>4781634</v>
      </c>
      <c r="D27" s="2">
        <f t="shared" si="0"/>
        <v>4617076.3000000007</v>
      </c>
      <c r="E27" s="2" t="s">
        <v>35</v>
      </c>
      <c r="F27" s="9" cm="1">
        <f t="array" ref="F27">+IF(E27=$K$11,0,_xlfn.IFS(E27=$K$12,$L$12,E27=$K$13,$L$13,E27=$K$14,$L$14))</f>
        <v>7300</v>
      </c>
    </row>
    <row r="28" spans="1:8" x14ac:dyDescent="0.3">
      <c r="A28" s="12" t="s">
        <v>84</v>
      </c>
      <c r="B28" s="13"/>
      <c r="C28" s="14">
        <v>1000000</v>
      </c>
      <c r="D28" s="2">
        <f t="shared" si="0"/>
        <v>3617076.3000000007</v>
      </c>
      <c r="E28" s="2" t="s">
        <v>34</v>
      </c>
      <c r="F28" s="9" cm="1">
        <f t="array" ref="F28">+IF(E28=$K$11,0,_xlfn.IFS(E28=$K$12,$L$12,E28=$K$13,$L$13,E28=$K$14,$L$14))</f>
        <v>3900</v>
      </c>
    </row>
    <row r="29" spans="1:8" x14ac:dyDescent="0.3">
      <c r="A29" s="12"/>
      <c r="B29" s="13"/>
      <c r="C29" s="14"/>
      <c r="D29" s="2">
        <f t="shared" si="0"/>
        <v>3617076.3000000007</v>
      </c>
      <c r="F29" s="9" cm="1">
        <f t="array" ref="F29">+IF(E29=$K$11,0,_xlfn.IFS(E29=$K$12,$L$12,E29=$K$13,$L$13,E29=$K$14,$L$14))</f>
        <v>0</v>
      </c>
    </row>
    <row r="30" spans="1:8" x14ac:dyDescent="0.3">
      <c r="A30" s="12"/>
      <c r="B30" s="13"/>
      <c r="C30" s="14"/>
      <c r="D30" s="2">
        <f t="shared" si="0"/>
        <v>3617076.3000000007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3617076.3000000007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3617076.3000000007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3617076.3000000007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3617076.3000000007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3617076.3000000007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3617076.3000000007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3617076.3000000007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BAQ-18287</v>
      </c>
      <c r="C38" s="16">
        <v>150000</v>
      </c>
      <c r="D38" s="2">
        <f t="shared" si="0"/>
        <v>3467076.3000000007</v>
      </c>
      <c r="E38" s="6" t="s">
        <v>12</v>
      </c>
      <c r="F38" s="9">
        <f>+SUM(F23:F37)+$D$18</f>
        <v>17050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3391076.3000000007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115968</v>
      </c>
      <c r="D40" s="2">
        <f t="shared" si="0"/>
        <v>3275108.3000000007</v>
      </c>
      <c r="F40" s="9"/>
    </row>
    <row r="41" spans="1:6" x14ac:dyDescent="0.3">
      <c r="A41" s="20" t="s">
        <v>20</v>
      </c>
      <c r="B41" s="21"/>
      <c r="C41" s="22">
        <f>+$F$38</f>
        <v>17050</v>
      </c>
      <c r="D41" s="2">
        <f>+D40-C41</f>
        <v>3258058.3000000007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BAQ-18287</v>
      </c>
    </row>
    <row r="45" spans="1:6" x14ac:dyDescent="0.3">
      <c r="A45" s="25" t="s">
        <v>21</v>
      </c>
      <c r="B45" s="26">
        <v>46074</v>
      </c>
    </row>
    <row r="46" spans="1:6" x14ac:dyDescent="0.3">
      <c r="A46" s="25" t="s">
        <v>12</v>
      </c>
      <c r="B46" s="27">
        <v>25804839</v>
      </c>
    </row>
    <row r="47" spans="1:6" x14ac:dyDescent="0.3">
      <c r="A47" s="47" t="str">
        <f>+IF($B$47&gt;0,"SALDO A FAVOR","SALDO A CARGO")</f>
        <v>SALDO A FAVOR</v>
      </c>
      <c r="B47" s="48">
        <f>+$B$20-$B$46</f>
        <v>3187161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70897.300000000745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70897.300000000745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DO.CTG26-0033</v>
      </c>
      <c r="B58" s="39" t="str">
        <f>+$B$2</f>
        <v>BAQ-18287</v>
      </c>
      <c r="C58" s="56">
        <f>+$B$20</f>
        <v>28992000</v>
      </c>
      <c r="D58" s="57">
        <f>+$B$45</f>
        <v>46074</v>
      </c>
      <c r="E58" s="56">
        <f>+$B$46</f>
        <v>25804839</v>
      </c>
      <c r="F58" s="56">
        <f>+$B$47</f>
        <v>3187161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70897.300000000745</v>
      </c>
      <c r="J58" s="39" t="str">
        <f>+IF($B$55&gt;0,"SALDO A FAVOR","SALDO A CARGO")</f>
        <v>SALDO A FAVOR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536" priority="21">
      <formula>$E$23="PSE"</formula>
    </cfRule>
  </conditionalFormatting>
  <conditionalFormatting sqref="A24:C24">
    <cfRule type="expression" dxfId="535" priority="20">
      <formula>$E$24="PSE"</formula>
    </cfRule>
  </conditionalFormatting>
  <conditionalFormatting sqref="A25:C25">
    <cfRule type="expression" dxfId="534" priority="19">
      <formula>$E$25="PSE"</formula>
    </cfRule>
  </conditionalFormatting>
  <conditionalFormatting sqref="A26:C26">
    <cfRule type="expression" dxfId="533" priority="18">
      <formula>$E$26="PSE"</formula>
    </cfRule>
  </conditionalFormatting>
  <conditionalFormatting sqref="A27:C27">
    <cfRule type="expression" dxfId="532" priority="17">
      <formula>$E$27="PSE"</formula>
    </cfRule>
  </conditionalFormatting>
  <conditionalFormatting sqref="A28:C28">
    <cfRule type="expression" dxfId="531" priority="16">
      <formula>$E$28="PSE"</formula>
    </cfRule>
  </conditionalFormatting>
  <conditionalFormatting sqref="A29:C29">
    <cfRule type="expression" dxfId="530" priority="15">
      <formula>$E$29="PSE"</formula>
    </cfRule>
  </conditionalFormatting>
  <conditionalFormatting sqref="A30:C30">
    <cfRule type="expression" dxfId="529" priority="14">
      <formula>$E$30="PSE"</formula>
    </cfRule>
  </conditionalFormatting>
  <conditionalFormatting sqref="A31:C31">
    <cfRule type="expression" dxfId="528" priority="13">
      <formula>$E$31="PSE"</formula>
    </cfRule>
  </conditionalFormatting>
  <conditionalFormatting sqref="A32:C32">
    <cfRule type="expression" dxfId="527" priority="12">
      <formula>$E$32="PSE"</formula>
    </cfRule>
  </conditionalFormatting>
  <conditionalFormatting sqref="A33:C33">
    <cfRule type="expression" dxfId="526" priority="11">
      <formula>$E$33="PSE"</formula>
    </cfRule>
  </conditionalFormatting>
  <conditionalFormatting sqref="A34:C34">
    <cfRule type="expression" dxfId="525" priority="10">
      <formula>$E$34="PSE"</formula>
    </cfRule>
  </conditionalFormatting>
  <conditionalFormatting sqref="A35:C35">
    <cfRule type="expression" dxfId="524" priority="9">
      <formula>$E$35="PSE"</formula>
    </cfRule>
  </conditionalFormatting>
  <conditionalFormatting sqref="A36:C36">
    <cfRule type="expression" dxfId="523" priority="8">
      <formula>$E$36="PSE"</formula>
    </cfRule>
  </conditionalFormatting>
  <conditionalFormatting sqref="A37:C37">
    <cfRule type="expression" dxfId="522" priority="7">
      <formula>$E$37="PSE"</formula>
    </cfRule>
  </conditionalFormatting>
  <conditionalFormatting sqref="B51">
    <cfRule type="cellIs" dxfId="521" priority="22" operator="lessThan">
      <formula>0</formula>
    </cfRule>
    <cfRule type="cellIs" dxfId="520" priority="23" operator="greaterThan">
      <formula>0</formula>
    </cfRule>
  </conditionalFormatting>
  <conditionalFormatting sqref="B55">
    <cfRule type="cellIs" dxfId="519" priority="5" operator="greaterThan">
      <formula>0</formula>
    </cfRule>
    <cfRule type="cellIs" dxfId="518" priority="6" operator="lessThan">
      <formula>0</formula>
    </cfRule>
  </conditionalFormatting>
  <conditionalFormatting sqref="D23:D41 B47">
    <cfRule type="cellIs" dxfId="517" priority="24" operator="lessThan">
      <formula>0</formula>
    </cfRule>
    <cfRule type="cellIs" dxfId="516" priority="25" operator="greaterThan">
      <formula>0</formula>
    </cfRule>
  </conditionalFormatting>
  <conditionalFormatting sqref="F58">
    <cfRule type="cellIs" dxfId="515" priority="3" operator="lessThan">
      <formula>0</formula>
    </cfRule>
    <cfRule type="cellIs" dxfId="514" priority="4" operator="greaterThan">
      <formula>0</formula>
    </cfRule>
  </conditionalFormatting>
  <conditionalFormatting sqref="I58">
    <cfRule type="cellIs" dxfId="513" priority="1" operator="lessThan">
      <formula>0</formula>
    </cfRule>
    <cfRule type="cellIs" dxfId="512" priority="2" operator="greaterThan">
      <formula>0</formula>
    </cfRule>
  </conditionalFormatting>
  <dataValidations count="4">
    <dataValidation type="list" allowBlank="1" showInputMessage="1" showErrorMessage="1" sqref="C5:C17" xr:uid="{FA1430F2-EC9F-4038-8154-429BA5594A00}">
      <formula1>$K$5:$K$10</formula1>
    </dataValidation>
    <dataValidation type="list" showInputMessage="1" showErrorMessage="1" sqref="E23:E37 E39:E41" xr:uid="{DBB1F917-2319-4988-8626-77B0904EA271}">
      <formula1>$K$12:$K$14</formula1>
    </dataValidation>
    <dataValidation type="list" allowBlank="1" showInputMessage="1" showErrorMessage="1" sqref="B53" xr:uid="{9138F0CC-850A-495C-9D2A-C2E13E37A2BE}">
      <formula1>$K$12:$K$14</formula1>
    </dataValidation>
    <dataValidation type="list" showInputMessage="1" showErrorMessage="1" sqref="B49" xr:uid="{A129E688-EF4D-4909-8BC6-AA79637F82F4}">
      <formula1>$K$5:$K$14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054DB-2F36-434B-B187-479CCA745118}">
  <dimension ref="A1:O58"/>
  <sheetViews>
    <sheetView topLeftCell="A24" workbookViewId="0">
      <selection activeCell="C40" sqref="C40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94</v>
      </c>
      <c r="B2" s="4" t="s">
        <v>103</v>
      </c>
      <c r="F2" s="28"/>
      <c r="G2" s="5" t="s">
        <v>24</v>
      </c>
      <c r="I2" s="5" t="str">
        <f>+$B$2</f>
        <v>BAQ-18358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46086</v>
      </c>
      <c r="B5" s="9">
        <v>27766000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27766000</v>
      </c>
      <c r="C20" s="6" t="s">
        <v>27</v>
      </c>
      <c r="D20" s="2">
        <f>+IF($A$47="SALDO A FAVOR",$B$20*0.004,($B$20+ABS($B$47))*0.004)</f>
        <v>122889.128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50</v>
      </c>
      <c r="B23" s="13"/>
      <c r="C23" s="14">
        <v>1000000</v>
      </c>
      <c r="D23" s="2">
        <f>+$B$20-C23</f>
        <v>26766000</v>
      </c>
      <c r="E23" s="2" t="s">
        <v>34</v>
      </c>
      <c r="F23" s="9" cm="1">
        <f t="array" ref="F23">+IF(E23=$K$11,0,_xlfn.IFS(E23=$K$12,$L$12,E23=$K$13,$L$13,E23=$K$14,$L$14))</f>
        <v>3900</v>
      </c>
    </row>
    <row r="24" spans="1:8" x14ac:dyDescent="0.3">
      <c r="A24" s="12" t="s">
        <v>95</v>
      </c>
      <c r="B24" s="13" t="s">
        <v>96</v>
      </c>
      <c r="C24" s="14">
        <v>1517115.7</v>
      </c>
      <c r="D24" s="2">
        <f>+D23-C24</f>
        <v>25248884.300000001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97</v>
      </c>
      <c r="B25" s="13" t="s">
        <v>96</v>
      </c>
      <c r="C25" s="14">
        <v>144437</v>
      </c>
      <c r="D25" s="2">
        <f t="shared" ref="D25:D40" si="0">+D24-C25</f>
        <v>25104447.300000001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54</v>
      </c>
      <c r="B26" s="13" t="s">
        <v>98</v>
      </c>
      <c r="C26" s="14">
        <v>16379000</v>
      </c>
      <c r="D26" s="2">
        <f t="shared" si="0"/>
        <v>8725447.3000000007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99</v>
      </c>
      <c r="B27" s="13" t="s">
        <v>100</v>
      </c>
      <c r="C27" s="14">
        <v>8132200</v>
      </c>
      <c r="D27" s="2">
        <f t="shared" si="0"/>
        <v>593247.30000000075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101</v>
      </c>
      <c r="B28" s="13" t="s">
        <v>102</v>
      </c>
      <c r="C28" s="14">
        <v>1770513.2</v>
      </c>
      <c r="D28" s="2">
        <f t="shared" si="0"/>
        <v>-1177265.8999999992</v>
      </c>
      <c r="E28" s="2" t="s">
        <v>10</v>
      </c>
      <c r="F28" s="9" cm="1">
        <f t="array" ref="F28">+IF(E28=$K$11,0,_xlfn.IFS(E28=$K$12,$L$12,E28=$K$13,$L$13,E28=$K$14,$L$14))</f>
        <v>0</v>
      </c>
    </row>
    <row r="29" spans="1:8" x14ac:dyDescent="0.3">
      <c r="A29" s="12"/>
      <c r="B29" s="13"/>
      <c r="C29" s="14"/>
      <c r="D29" s="2">
        <f t="shared" si="0"/>
        <v>-1177265.8999999992</v>
      </c>
      <c r="F29" s="9" cm="1">
        <f t="array" ref="F29">+IF(E29=$K$11,0,_xlfn.IFS(E29=$K$12,$L$12,E29=$K$13,$L$13,E29=$K$14,$L$14))</f>
        <v>0</v>
      </c>
    </row>
    <row r="30" spans="1:8" x14ac:dyDescent="0.3">
      <c r="A30" s="12"/>
      <c r="B30" s="13"/>
      <c r="C30" s="14"/>
      <c r="D30" s="2">
        <f t="shared" si="0"/>
        <v>-1177265.8999999992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-1177265.8999999992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-1177265.8999999992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-1177265.8999999992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-1177265.8999999992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-1177265.8999999992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-1177265.8999999992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-1177265.8999999992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BAQ-18358</v>
      </c>
      <c r="C38" s="16">
        <v>150000</v>
      </c>
      <c r="D38" s="2">
        <f t="shared" si="0"/>
        <v>-1327265.8999999992</v>
      </c>
      <c r="E38" s="6" t="s">
        <v>12</v>
      </c>
      <c r="F38" s="9">
        <f>+SUM(F23:F37)+$D$18</f>
        <v>5850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-1403265.8999999992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122889.128</v>
      </c>
      <c r="D40" s="2">
        <f t="shared" si="0"/>
        <v>-1526155.0279999992</v>
      </c>
      <c r="F40" s="9"/>
    </row>
    <row r="41" spans="1:6" x14ac:dyDescent="0.3">
      <c r="A41" s="20" t="s">
        <v>20</v>
      </c>
      <c r="B41" s="21"/>
      <c r="C41" s="22">
        <f>+$F$38</f>
        <v>5850</v>
      </c>
      <c r="D41" s="2">
        <f>+D40-C41</f>
        <v>-1532005.0279999992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BAQ-18358</v>
      </c>
    </row>
    <row r="45" spans="1:6" x14ac:dyDescent="0.3">
      <c r="A45" s="25" t="s">
        <v>21</v>
      </c>
      <c r="B45" s="26">
        <v>45734</v>
      </c>
    </row>
    <row r="46" spans="1:6" x14ac:dyDescent="0.3">
      <c r="A46" s="25" t="s">
        <v>12</v>
      </c>
      <c r="B46" s="27">
        <v>30722282</v>
      </c>
    </row>
    <row r="47" spans="1:6" x14ac:dyDescent="0.3">
      <c r="A47" s="47" t="str">
        <f>+IF($B$47&gt;0,"SALDO A FAVOR","SALDO A CARGO")</f>
        <v>SALDO A CARGO</v>
      </c>
      <c r="B47" s="48">
        <f>+$B$20-$B$46</f>
        <v>-2956282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RECAUDO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-1532005.0279999992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RECAUDO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-1532005.0279999992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DO.CTG26-0063</v>
      </c>
      <c r="B58" s="39" t="str">
        <f>+$B$2</f>
        <v>BAQ-18358</v>
      </c>
      <c r="C58" s="56">
        <f>+$B$20</f>
        <v>27766000</v>
      </c>
      <c r="D58" s="57">
        <f>+$B$45</f>
        <v>45734</v>
      </c>
      <c r="E58" s="56">
        <f>+$B$46</f>
        <v>30722282</v>
      </c>
      <c r="F58" s="56">
        <f>+$B$47</f>
        <v>-2956282</v>
      </c>
      <c r="G58" s="39" t="str">
        <f>+IF(F58&gt;0,"SALDO A FAVOR","SALDO A CARGO")</f>
        <v>SALDO A CARGO</v>
      </c>
      <c r="H58" s="58" t="str">
        <f>+$B$48</f>
        <v>X</v>
      </c>
      <c r="I58" s="55">
        <f>+$B$55</f>
        <v>-1532005.0279999992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511" priority="21">
      <formula>$E$23="PSE"</formula>
    </cfRule>
  </conditionalFormatting>
  <conditionalFormatting sqref="A24:C24">
    <cfRule type="expression" dxfId="510" priority="20">
      <formula>$E$24="PSE"</formula>
    </cfRule>
  </conditionalFormatting>
  <conditionalFormatting sqref="A25:C25">
    <cfRule type="expression" dxfId="509" priority="19">
      <formula>$E$25="PSE"</formula>
    </cfRule>
  </conditionalFormatting>
  <conditionalFormatting sqref="A26:C26">
    <cfRule type="expression" dxfId="508" priority="18">
      <formula>$E$26="PSE"</formula>
    </cfRule>
  </conditionalFormatting>
  <conditionalFormatting sqref="A27:C27">
    <cfRule type="expression" dxfId="507" priority="17">
      <formula>$E$27="PSE"</formula>
    </cfRule>
  </conditionalFormatting>
  <conditionalFormatting sqref="A28:C28">
    <cfRule type="expression" dxfId="506" priority="16">
      <formula>$E$28="PSE"</formula>
    </cfRule>
  </conditionalFormatting>
  <conditionalFormatting sqref="A29:C29">
    <cfRule type="expression" dxfId="505" priority="15">
      <formula>$E$29="PSE"</formula>
    </cfRule>
  </conditionalFormatting>
  <conditionalFormatting sqref="A30:C30">
    <cfRule type="expression" dxfId="504" priority="14">
      <formula>$E$30="PSE"</formula>
    </cfRule>
  </conditionalFormatting>
  <conditionalFormatting sqref="A31:C31">
    <cfRule type="expression" dxfId="503" priority="13">
      <formula>$E$31="PSE"</formula>
    </cfRule>
  </conditionalFormatting>
  <conditionalFormatting sqref="A32:C32">
    <cfRule type="expression" dxfId="502" priority="12">
      <formula>$E$32="PSE"</formula>
    </cfRule>
  </conditionalFormatting>
  <conditionalFormatting sqref="A33:C33">
    <cfRule type="expression" dxfId="501" priority="11">
      <formula>$E$33="PSE"</formula>
    </cfRule>
  </conditionalFormatting>
  <conditionalFormatting sqref="A34:C34">
    <cfRule type="expression" dxfId="500" priority="10">
      <formula>$E$34="PSE"</formula>
    </cfRule>
  </conditionalFormatting>
  <conditionalFormatting sqref="A35:C35">
    <cfRule type="expression" dxfId="499" priority="9">
      <formula>$E$35="PSE"</formula>
    </cfRule>
  </conditionalFormatting>
  <conditionalFormatting sqref="A36:C36">
    <cfRule type="expression" dxfId="498" priority="8">
      <formula>$E$36="PSE"</formula>
    </cfRule>
  </conditionalFormatting>
  <conditionalFormatting sqref="A37:C37">
    <cfRule type="expression" dxfId="497" priority="7">
      <formula>$E$37="PSE"</formula>
    </cfRule>
  </conditionalFormatting>
  <conditionalFormatting sqref="B51">
    <cfRule type="cellIs" dxfId="496" priority="22" operator="lessThan">
      <formula>0</formula>
    </cfRule>
    <cfRule type="cellIs" dxfId="495" priority="23" operator="greaterThan">
      <formula>0</formula>
    </cfRule>
  </conditionalFormatting>
  <conditionalFormatting sqref="B55">
    <cfRule type="cellIs" dxfId="494" priority="5" operator="greaterThan">
      <formula>0</formula>
    </cfRule>
    <cfRule type="cellIs" dxfId="493" priority="6" operator="lessThan">
      <formula>0</formula>
    </cfRule>
  </conditionalFormatting>
  <conditionalFormatting sqref="D23:D41 B47">
    <cfRule type="cellIs" dxfId="492" priority="24" operator="lessThan">
      <formula>0</formula>
    </cfRule>
    <cfRule type="cellIs" dxfId="491" priority="25" operator="greaterThan">
      <formula>0</formula>
    </cfRule>
  </conditionalFormatting>
  <conditionalFormatting sqref="F58">
    <cfRule type="cellIs" dxfId="490" priority="3" operator="lessThan">
      <formula>0</formula>
    </cfRule>
    <cfRule type="cellIs" dxfId="489" priority="4" operator="greaterThan">
      <formula>0</formula>
    </cfRule>
  </conditionalFormatting>
  <conditionalFormatting sqref="I58">
    <cfRule type="cellIs" dxfId="488" priority="1" operator="lessThan">
      <formula>0</formula>
    </cfRule>
    <cfRule type="cellIs" dxfId="487" priority="2" operator="greaterThan">
      <formula>0</formula>
    </cfRule>
  </conditionalFormatting>
  <dataValidations count="4">
    <dataValidation type="list" showInputMessage="1" showErrorMessage="1" sqref="B49" xr:uid="{40B1E381-278B-4B20-870E-97F9648E1C63}">
      <formula1>$K$5:$K$14</formula1>
    </dataValidation>
    <dataValidation type="list" allowBlank="1" showInputMessage="1" showErrorMessage="1" sqref="B53" xr:uid="{770F9F21-DB79-4D13-9931-E44D98B32BBE}">
      <formula1>$K$12:$K$14</formula1>
    </dataValidation>
    <dataValidation type="list" showInputMessage="1" showErrorMessage="1" sqref="E23:E37 E39:E41" xr:uid="{F03CD9FF-2580-45A6-943C-982FF253E069}">
      <formula1>$K$12:$K$14</formula1>
    </dataValidation>
    <dataValidation type="list" allowBlank="1" showInputMessage="1" showErrorMessage="1" sqref="C5:C17" xr:uid="{ACEF7A17-CD93-4E07-AACB-14AE23FDE92A}">
      <formula1>$K$5:$K$10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77273-2903-467B-B8A2-CC424725428D}">
  <sheetPr codeName="Hoja1"/>
  <dimension ref="A1:O58"/>
  <sheetViews>
    <sheetView topLeftCell="A29" workbookViewId="0">
      <selection activeCell="D47" sqref="D47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89</v>
      </c>
      <c r="B2" s="4" t="s">
        <v>104</v>
      </c>
      <c r="F2" s="28"/>
      <c r="G2" s="5" t="s">
        <v>24</v>
      </c>
      <c r="I2" s="5" t="str">
        <f>+$B$2</f>
        <v>BAQ-18359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46090</v>
      </c>
      <c r="B5" s="9">
        <v>33496000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33496000</v>
      </c>
      <c r="C20" s="6" t="s">
        <v>27</v>
      </c>
      <c r="D20" s="2">
        <f>+IF($A$47="SALDO A FAVOR",$B$20*0.004,($B$20+ABS($B$47))*0.004)</f>
        <v>133984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75</v>
      </c>
      <c r="B23" s="13" t="s">
        <v>90</v>
      </c>
      <c r="C23" s="14">
        <v>5305579</v>
      </c>
      <c r="D23" s="2">
        <f>+$B$20-C23</f>
        <v>28190421</v>
      </c>
      <c r="E23" s="2" t="s">
        <v>10</v>
      </c>
      <c r="F23" s="9" cm="1">
        <f t="array" ref="F23">+IF(E23=$K$11,0,_xlfn.IFS(E23=$K$12,$L$12,E23=$K$13,$L$13,E23=$K$14,$L$14))</f>
        <v>0</v>
      </c>
    </row>
    <row r="24" spans="1:8" x14ac:dyDescent="0.3">
      <c r="A24" s="12" t="s">
        <v>77</v>
      </c>
      <c r="B24" s="13" t="s">
        <v>91</v>
      </c>
      <c r="C24" s="14">
        <v>1119184</v>
      </c>
      <c r="D24" s="2">
        <f>+D23-C24</f>
        <v>27071237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50</v>
      </c>
      <c r="B25" s="13"/>
      <c r="C25" s="14">
        <v>1500000</v>
      </c>
      <c r="D25" s="2">
        <f t="shared" ref="D25:D40" si="0">+D24-C25</f>
        <v>25571237</v>
      </c>
      <c r="E25" s="2" t="s">
        <v>34</v>
      </c>
      <c r="F25" s="9" cm="1">
        <f t="array" ref="F25">+IF(E25=$K$11,0,_xlfn.IFS(E25=$K$12,$L$12,E25=$K$13,$L$13,E25=$K$14,$L$14))</f>
        <v>3900</v>
      </c>
    </row>
    <row r="26" spans="1:8" x14ac:dyDescent="0.3">
      <c r="A26" s="12" t="s">
        <v>54</v>
      </c>
      <c r="B26" s="13" t="s">
        <v>92</v>
      </c>
      <c r="C26" s="14">
        <v>17270000</v>
      </c>
      <c r="D26" s="2">
        <f t="shared" si="0"/>
        <v>8301237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65</v>
      </c>
      <c r="B27" s="13" t="s">
        <v>93</v>
      </c>
      <c r="C27" s="14">
        <v>5631119</v>
      </c>
      <c r="D27" s="2">
        <f t="shared" si="0"/>
        <v>2670118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84</v>
      </c>
      <c r="B28" s="13"/>
      <c r="C28" s="14">
        <v>1200000</v>
      </c>
      <c r="D28" s="2">
        <f t="shared" si="0"/>
        <v>1470118</v>
      </c>
      <c r="E28" s="2" t="s">
        <v>34</v>
      </c>
      <c r="F28" s="9" cm="1">
        <f t="array" ref="F28">+IF(E28=$K$11,0,_xlfn.IFS(E28=$K$12,$L$12,E28=$K$13,$L$13,E28=$K$14,$L$14))</f>
        <v>3900</v>
      </c>
    </row>
    <row r="29" spans="1:8" x14ac:dyDescent="0.3">
      <c r="A29" s="12"/>
      <c r="B29" s="13"/>
      <c r="C29" s="14"/>
      <c r="D29" s="2">
        <f t="shared" si="0"/>
        <v>1470118</v>
      </c>
      <c r="F29" s="9" cm="1">
        <f t="array" ref="F29">+IF(E29=$K$11,0,_xlfn.IFS(E29=$K$12,$L$12,E29=$K$13,$L$13,E29=$K$14,$L$14))</f>
        <v>0</v>
      </c>
    </row>
    <row r="30" spans="1:8" x14ac:dyDescent="0.3">
      <c r="A30" s="12"/>
      <c r="B30" s="13"/>
      <c r="C30" s="14"/>
      <c r="D30" s="2">
        <f t="shared" si="0"/>
        <v>1470118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1470118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1470118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1470118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1470118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1470118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1470118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1470118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BAQ-18359</v>
      </c>
      <c r="C38" s="16">
        <v>150000</v>
      </c>
      <c r="D38" s="2">
        <f t="shared" si="0"/>
        <v>1320118</v>
      </c>
      <c r="E38" s="6" t="s">
        <v>12</v>
      </c>
      <c r="F38" s="9">
        <f>+SUM(F23:F37)+$D$18</f>
        <v>9750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1244118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133984</v>
      </c>
      <c r="D40" s="2">
        <f t="shared" si="0"/>
        <v>1110134</v>
      </c>
      <c r="F40" s="9"/>
    </row>
    <row r="41" spans="1:6" x14ac:dyDescent="0.3">
      <c r="A41" s="20" t="s">
        <v>20</v>
      </c>
      <c r="B41" s="21"/>
      <c r="C41" s="22">
        <f>+$F$38</f>
        <v>9750</v>
      </c>
      <c r="D41" s="2">
        <f>+D40-C41</f>
        <v>1100384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BAQ-18359</v>
      </c>
    </row>
    <row r="45" spans="1:6" x14ac:dyDescent="0.3">
      <c r="A45" s="25" t="s">
        <v>21</v>
      </c>
      <c r="B45" s="26">
        <v>46099</v>
      </c>
    </row>
    <row r="46" spans="1:6" x14ac:dyDescent="0.3">
      <c r="A46" s="25" t="s">
        <v>12</v>
      </c>
      <c r="B46" s="27">
        <v>32281601</v>
      </c>
    </row>
    <row r="47" spans="1:6" x14ac:dyDescent="0.3">
      <c r="A47" s="47" t="str">
        <f>+IF($B$47&gt;0,"SALDO A FAVOR","SALDO A CARGO")</f>
        <v>SALDO A FAVOR</v>
      </c>
      <c r="B47" s="48">
        <f>+$B$20-$B$46</f>
        <v>1214399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-114015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-114015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DO.CTG26-0070</v>
      </c>
      <c r="B58" s="39" t="str">
        <f>+$B$2</f>
        <v>BAQ-18359</v>
      </c>
      <c r="C58" s="56">
        <f>+$B$20</f>
        <v>33496000</v>
      </c>
      <c r="D58" s="57">
        <f>+$B$45</f>
        <v>46099</v>
      </c>
      <c r="E58" s="56">
        <f>+$B$46</f>
        <v>32281601</v>
      </c>
      <c r="F58" s="56">
        <f>+$B$47</f>
        <v>1214399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-114015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486" priority="21">
      <formula>$E$23="PSE"</formula>
    </cfRule>
  </conditionalFormatting>
  <conditionalFormatting sqref="A24:C24">
    <cfRule type="expression" dxfId="485" priority="20">
      <formula>$E$24="PSE"</formula>
    </cfRule>
  </conditionalFormatting>
  <conditionalFormatting sqref="A25:C25">
    <cfRule type="expression" dxfId="484" priority="19">
      <formula>$E$25="PSE"</formula>
    </cfRule>
  </conditionalFormatting>
  <conditionalFormatting sqref="A26:C26">
    <cfRule type="expression" dxfId="483" priority="18">
      <formula>$E$26="PSE"</formula>
    </cfRule>
  </conditionalFormatting>
  <conditionalFormatting sqref="A27:C27">
    <cfRule type="expression" dxfId="482" priority="17">
      <formula>$E$27="PSE"</formula>
    </cfRule>
  </conditionalFormatting>
  <conditionalFormatting sqref="A28:C28">
    <cfRule type="expression" dxfId="481" priority="16">
      <formula>$E$28="PSE"</formula>
    </cfRule>
  </conditionalFormatting>
  <conditionalFormatting sqref="A29:C29">
    <cfRule type="expression" dxfId="480" priority="15">
      <formula>$E$29="PSE"</formula>
    </cfRule>
  </conditionalFormatting>
  <conditionalFormatting sqref="A30:C30">
    <cfRule type="expression" dxfId="479" priority="14">
      <formula>$E$30="PSE"</formula>
    </cfRule>
  </conditionalFormatting>
  <conditionalFormatting sqref="A31:C31">
    <cfRule type="expression" dxfId="478" priority="13">
      <formula>$E$31="PSE"</formula>
    </cfRule>
  </conditionalFormatting>
  <conditionalFormatting sqref="A32:C32">
    <cfRule type="expression" dxfId="477" priority="12">
      <formula>$E$32="PSE"</formula>
    </cfRule>
  </conditionalFormatting>
  <conditionalFormatting sqref="A33:C33">
    <cfRule type="expression" dxfId="476" priority="11">
      <formula>$E$33="PSE"</formula>
    </cfRule>
  </conditionalFormatting>
  <conditionalFormatting sqref="A34:C34">
    <cfRule type="expression" dxfId="475" priority="10">
      <formula>$E$34="PSE"</formula>
    </cfRule>
  </conditionalFormatting>
  <conditionalFormatting sqref="A35:C35">
    <cfRule type="expression" dxfId="474" priority="9">
      <formula>$E$35="PSE"</formula>
    </cfRule>
  </conditionalFormatting>
  <conditionalFormatting sqref="A36:C36">
    <cfRule type="expression" dxfId="473" priority="8">
      <formula>$E$36="PSE"</formula>
    </cfRule>
  </conditionalFormatting>
  <conditionalFormatting sqref="A37:C37">
    <cfRule type="expression" dxfId="472" priority="7">
      <formula>$E$37="PSE"</formula>
    </cfRule>
  </conditionalFormatting>
  <conditionalFormatting sqref="B51">
    <cfRule type="cellIs" dxfId="471" priority="22" operator="lessThan">
      <formula>0</formula>
    </cfRule>
    <cfRule type="cellIs" dxfId="470" priority="23" operator="greaterThan">
      <formula>0</formula>
    </cfRule>
  </conditionalFormatting>
  <conditionalFormatting sqref="B55">
    <cfRule type="cellIs" dxfId="469" priority="5" operator="greaterThan">
      <formula>0</formula>
    </cfRule>
    <cfRule type="cellIs" dxfId="468" priority="6" operator="lessThan">
      <formula>0</formula>
    </cfRule>
  </conditionalFormatting>
  <conditionalFormatting sqref="D23:D41 B47">
    <cfRule type="cellIs" dxfId="467" priority="24" operator="lessThan">
      <formula>0</formula>
    </cfRule>
    <cfRule type="cellIs" dxfId="466" priority="25" operator="greaterThan">
      <formula>0</formula>
    </cfRule>
  </conditionalFormatting>
  <conditionalFormatting sqref="F58">
    <cfRule type="cellIs" dxfId="465" priority="3" operator="lessThan">
      <formula>0</formula>
    </cfRule>
    <cfRule type="cellIs" dxfId="464" priority="4" operator="greaterThan">
      <formula>0</formula>
    </cfRule>
  </conditionalFormatting>
  <conditionalFormatting sqref="I58">
    <cfRule type="cellIs" dxfId="463" priority="1" operator="lessThan">
      <formula>0</formula>
    </cfRule>
    <cfRule type="cellIs" dxfId="462" priority="2" operator="greaterThan">
      <formula>0</formula>
    </cfRule>
  </conditionalFormatting>
  <dataValidations count="4">
    <dataValidation type="list" showInputMessage="1" showErrorMessage="1" sqref="B49" xr:uid="{474F645E-A9E9-4DD5-B4A7-F0DEE540C95F}">
      <formula1>$K$5:$K$14</formula1>
    </dataValidation>
    <dataValidation type="list" allowBlank="1" showInputMessage="1" showErrorMessage="1" sqref="B53" xr:uid="{E123C7FD-2FBE-46B2-80DC-1F8FA3FA7BEF}">
      <formula1>$K$12:$K$14</formula1>
    </dataValidation>
    <dataValidation type="list" showInputMessage="1" showErrorMessage="1" sqref="E23:E37 E39:E41" xr:uid="{D40CE553-613E-4891-B73F-3D98B0C33B60}">
      <formula1>$K$12:$K$14</formula1>
    </dataValidation>
    <dataValidation type="list" allowBlank="1" showInputMessage="1" showErrorMessage="1" sqref="C5:C17" xr:uid="{F9434133-A2AA-45EC-ADB2-4445BA6742F6}">
      <formula1>$K$5:$K$10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CBE8B-3EEC-4973-B049-261520B4B041}">
  <dimension ref="A1:O58"/>
  <sheetViews>
    <sheetView topLeftCell="A28" workbookViewId="0">
      <selection activeCell="C40" sqref="C40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115</v>
      </c>
      <c r="B2" s="4" t="s">
        <v>120</v>
      </c>
      <c r="F2" s="28"/>
      <c r="G2" s="5" t="s">
        <v>24</v>
      </c>
      <c r="I2" s="5" t="str">
        <f>+$B$2</f>
        <v>BAQ-18377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46098</v>
      </c>
      <c r="B5" s="9">
        <v>33496000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>
        <v>46099</v>
      </c>
      <c r="B6" s="9">
        <v>826000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34322000</v>
      </c>
      <c r="C20" s="6" t="s">
        <v>27</v>
      </c>
      <c r="D20" s="2">
        <f>+IF($A$47="SALDO A FAVOR",$B$20*0.004,($B$20+ABS($B$47))*0.004)</f>
        <v>137288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50</v>
      </c>
      <c r="B23" s="13"/>
      <c r="C23" s="14">
        <v>1500000</v>
      </c>
      <c r="D23" s="2">
        <f>+$B$20-C23</f>
        <v>32822000</v>
      </c>
      <c r="E23" s="2" t="s">
        <v>34</v>
      </c>
      <c r="F23" s="9" cm="1">
        <f t="array" ref="F23">+IF(E23=$K$11,0,_xlfn.IFS(E23=$K$12,$L$12,E23=$K$13,$L$13,E23=$K$14,$L$14))</f>
        <v>3900</v>
      </c>
    </row>
    <row r="24" spans="1:8" x14ac:dyDescent="0.3">
      <c r="A24" s="12" t="s">
        <v>75</v>
      </c>
      <c r="B24" s="13" t="s">
        <v>116</v>
      </c>
      <c r="C24" s="14">
        <v>5301102</v>
      </c>
      <c r="D24" s="2">
        <f>+D23-C24</f>
        <v>27520898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77</v>
      </c>
      <c r="B25" s="13" t="s">
        <v>117</v>
      </c>
      <c r="C25" s="14">
        <v>1102785</v>
      </c>
      <c r="D25" s="2">
        <f t="shared" ref="D25:D40" si="0">+D24-C25</f>
        <v>26418113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54</v>
      </c>
      <c r="B26" s="13" t="s">
        <v>118</v>
      </c>
      <c r="C26" s="14">
        <v>17091000</v>
      </c>
      <c r="D26" s="2">
        <f t="shared" si="0"/>
        <v>9327113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65</v>
      </c>
      <c r="B27" s="13" t="s">
        <v>119</v>
      </c>
      <c r="C27" s="14">
        <v>5628597</v>
      </c>
      <c r="D27" s="2">
        <f t="shared" si="0"/>
        <v>3698516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114</v>
      </c>
      <c r="B28" s="13"/>
      <c r="C28" s="14">
        <v>560000</v>
      </c>
      <c r="D28" s="2">
        <f t="shared" si="0"/>
        <v>3138516</v>
      </c>
      <c r="E28" s="2" t="s">
        <v>34</v>
      </c>
      <c r="F28" s="9" cm="1">
        <f t="array" ref="F28">+IF(E28=$K$11,0,_xlfn.IFS(E28=$K$12,$L$12,E28=$K$13,$L$13,E28=$K$14,$L$14))</f>
        <v>3900</v>
      </c>
    </row>
    <row r="29" spans="1:8" x14ac:dyDescent="0.3">
      <c r="A29" s="12"/>
      <c r="B29" s="13"/>
      <c r="C29" s="14"/>
      <c r="D29" s="2">
        <f t="shared" si="0"/>
        <v>3138516</v>
      </c>
      <c r="F29" s="9" cm="1">
        <f t="array" ref="F29">+IF(E29=$K$11,0,_xlfn.IFS(E29=$K$12,$L$12,E29=$K$13,$L$13,E29=$K$14,$L$14))</f>
        <v>0</v>
      </c>
    </row>
    <row r="30" spans="1:8" x14ac:dyDescent="0.3">
      <c r="A30" s="12"/>
      <c r="B30" s="13"/>
      <c r="C30" s="14"/>
      <c r="D30" s="2">
        <f t="shared" si="0"/>
        <v>3138516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3138516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3138516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3138516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3138516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3138516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3138516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3138516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BAQ-18377</v>
      </c>
      <c r="C38" s="16">
        <v>150000</v>
      </c>
      <c r="D38" s="2">
        <f t="shared" si="0"/>
        <v>2988516</v>
      </c>
      <c r="E38" s="6" t="s">
        <v>12</v>
      </c>
      <c r="F38" s="9">
        <f>+SUM(F23:F37)+$D$18</f>
        <v>9750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2912516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137288</v>
      </c>
      <c r="D40" s="2">
        <f t="shared" si="0"/>
        <v>2775228</v>
      </c>
      <c r="F40" s="9"/>
    </row>
    <row r="41" spans="1:6" x14ac:dyDescent="0.3">
      <c r="A41" s="20" t="s">
        <v>20</v>
      </c>
      <c r="B41" s="21"/>
      <c r="C41" s="22">
        <f>+$F$38</f>
        <v>9750</v>
      </c>
      <c r="D41" s="2">
        <f>+D40-C41</f>
        <v>2765478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BAQ-18377</v>
      </c>
    </row>
    <row r="45" spans="1:6" x14ac:dyDescent="0.3">
      <c r="A45" s="25" t="s">
        <v>21</v>
      </c>
      <c r="B45" s="26">
        <v>46110</v>
      </c>
    </row>
    <row r="46" spans="1:6" x14ac:dyDescent="0.3">
      <c r="A46" s="25" t="s">
        <v>12</v>
      </c>
      <c r="B46" s="27">
        <v>31626593</v>
      </c>
    </row>
    <row r="47" spans="1:6" x14ac:dyDescent="0.3">
      <c r="A47" s="47" t="str">
        <f>+IF($B$47&gt;0,"SALDO A FAVOR","SALDO A CARGO")</f>
        <v>SALDO A FAVOR</v>
      </c>
      <c r="B47" s="48">
        <f>+$B$20-$B$46</f>
        <v>2695407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70071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70071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DO.CTG26-0078</v>
      </c>
      <c r="B58" s="39" t="str">
        <f>+$B$2</f>
        <v>BAQ-18377</v>
      </c>
      <c r="C58" s="56">
        <f>+$B$20</f>
        <v>34322000</v>
      </c>
      <c r="D58" s="57">
        <f>+$B$45</f>
        <v>46110</v>
      </c>
      <c r="E58" s="56">
        <f>+$B$46</f>
        <v>31626593</v>
      </c>
      <c r="F58" s="56">
        <f>+$B$47</f>
        <v>2695407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70071</v>
      </c>
      <c r="J58" s="39" t="str">
        <f>+IF($B$55&gt;0,"SALDO A FAVOR","SALDO A CARGO")</f>
        <v>SALDO A FAVOR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461" priority="21">
      <formula>$E$23="PSE"</formula>
    </cfRule>
  </conditionalFormatting>
  <conditionalFormatting sqref="A24:C24">
    <cfRule type="expression" dxfId="460" priority="20">
      <formula>$E$24="PSE"</formula>
    </cfRule>
  </conditionalFormatting>
  <conditionalFormatting sqref="A25:C25">
    <cfRule type="expression" dxfId="459" priority="19">
      <formula>$E$25="PSE"</formula>
    </cfRule>
  </conditionalFormatting>
  <conditionalFormatting sqref="A26:C26">
    <cfRule type="expression" dxfId="458" priority="18">
      <formula>$E$26="PSE"</formula>
    </cfRule>
  </conditionalFormatting>
  <conditionalFormatting sqref="A27:C27">
    <cfRule type="expression" dxfId="457" priority="17">
      <formula>$E$27="PSE"</formula>
    </cfRule>
  </conditionalFormatting>
  <conditionalFormatting sqref="A28:C28">
    <cfRule type="expression" dxfId="456" priority="16">
      <formula>$E$28="PSE"</formula>
    </cfRule>
  </conditionalFormatting>
  <conditionalFormatting sqref="A29:C29">
    <cfRule type="expression" dxfId="455" priority="15">
      <formula>$E$29="PSE"</formula>
    </cfRule>
  </conditionalFormatting>
  <conditionalFormatting sqref="A30:C30">
    <cfRule type="expression" dxfId="454" priority="14">
      <formula>$E$30="PSE"</formula>
    </cfRule>
  </conditionalFormatting>
  <conditionalFormatting sqref="A31:C31">
    <cfRule type="expression" dxfId="453" priority="13">
      <formula>$E$31="PSE"</formula>
    </cfRule>
  </conditionalFormatting>
  <conditionalFormatting sqref="A32:C32">
    <cfRule type="expression" dxfId="452" priority="12">
      <formula>$E$32="PSE"</formula>
    </cfRule>
  </conditionalFormatting>
  <conditionalFormatting sqref="A33:C33">
    <cfRule type="expression" dxfId="451" priority="11">
      <formula>$E$33="PSE"</formula>
    </cfRule>
  </conditionalFormatting>
  <conditionalFormatting sqref="A34:C34">
    <cfRule type="expression" dxfId="450" priority="10">
      <formula>$E$34="PSE"</formula>
    </cfRule>
  </conditionalFormatting>
  <conditionalFormatting sqref="A35:C35">
    <cfRule type="expression" dxfId="449" priority="9">
      <formula>$E$35="PSE"</formula>
    </cfRule>
  </conditionalFormatting>
  <conditionalFormatting sqref="A36:C36">
    <cfRule type="expression" dxfId="448" priority="8">
      <formula>$E$36="PSE"</formula>
    </cfRule>
  </conditionalFormatting>
  <conditionalFormatting sqref="A37:C37">
    <cfRule type="expression" dxfId="447" priority="7">
      <formula>$E$37="PSE"</formula>
    </cfRule>
  </conditionalFormatting>
  <conditionalFormatting sqref="B51">
    <cfRule type="cellIs" dxfId="446" priority="22" operator="lessThan">
      <formula>0</formula>
    </cfRule>
    <cfRule type="cellIs" dxfId="445" priority="23" operator="greaterThan">
      <formula>0</formula>
    </cfRule>
  </conditionalFormatting>
  <conditionalFormatting sqref="B55">
    <cfRule type="cellIs" dxfId="444" priority="5" operator="greaterThan">
      <formula>0</formula>
    </cfRule>
    <cfRule type="cellIs" dxfId="443" priority="6" operator="lessThan">
      <formula>0</formula>
    </cfRule>
  </conditionalFormatting>
  <conditionalFormatting sqref="D23:D41 B47">
    <cfRule type="cellIs" dxfId="442" priority="24" operator="lessThan">
      <formula>0</formula>
    </cfRule>
    <cfRule type="cellIs" dxfId="441" priority="25" operator="greaterThan">
      <formula>0</formula>
    </cfRule>
  </conditionalFormatting>
  <conditionalFormatting sqref="F58">
    <cfRule type="cellIs" dxfId="440" priority="3" operator="lessThan">
      <formula>0</formula>
    </cfRule>
    <cfRule type="cellIs" dxfId="439" priority="4" operator="greaterThan">
      <formula>0</formula>
    </cfRule>
  </conditionalFormatting>
  <conditionalFormatting sqref="I58">
    <cfRule type="cellIs" dxfId="438" priority="1" operator="lessThan">
      <formula>0</formula>
    </cfRule>
    <cfRule type="cellIs" dxfId="437" priority="2" operator="greaterThan">
      <formula>0</formula>
    </cfRule>
  </conditionalFormatting>
  <dataValidations count="4">
    <dataValidation type="list" showInputMessage="1" showErrorMessage="1" sqref="B49" xr:uid="{D6602ED8-FAA6-4DAC-85F2-0627B5C86335}">
      <formula1>$K$5:$K$14</formula1>
    </dataValidation>
    <dataValidation type="list" allowBlank="1" showInputMessage="1" showErrorMessage="1" sqref="B53" xr:uid="{271E050B-DB49-49C4-9B06-8B59AD50FC54}">
      <formula1>$K$12:$K$14</formula1>
    </dataValidation>
    <dataValidation type="list" showInputMessage="1" showErrorMessage="1" sqref="E23:E37 E39:E41" xr:uid="{79F343CC-301E-4ADB-9FBE-6F8349BA8D73}">
      <formula1>$K$12:$K$14</formula1>
    </dataValidation>
    <dataValidation type="list" allowBlank="1" showInputMessage="1" showErrorMessage="1" sqref="C5:C17" xr:uid="{961A9A78-C923-4AD9-B507-3341C4320B1D}">
      <formula1>$K$5:$K$10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946EA-B6E1-466C-8DDB-F22D162DE4D0}">
  <dimension ref="A1:O58"/>
  <sheetViews>
    <sheetView topLeftCell="A27" workbookViewId="0">
      <selection activeCell="C40" sqref="C40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106</v>
      </c>
      <c r="B2" s="4" t="s">
        <v>121</v>
      </c>
      <c r="F2" s="28"/>
      <c r="G2" s="5" t="s">
        <v>24</v>
      </c>
      <c r="I2" s="5" t="str">
        <f>+$B$2</f>
        <v>BAQ-18378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46099</v>
      </c>
      <c r="B5" s="9">
        <v>34604740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34604740</v>
      </c>
      <c r="C20" s="6" t="s">
        <v>27</v>
      </c>
      <c r="D20" s="2">
        <f>+IF($A$47="SALDO A FAVOR",$B$20*0.004,($B$20+ABS($B$47))*0.004)</f>
        <v>138418.96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108</v>
      </c>
      <c r="B23" s="13"/>
      <c r="C23" s="14">
        <v>1500000</v>
      </c>
      <c r="D23" s="2">
        <f>+$B$20-C23</f>
        <v>33104740</v>
      </c>
      <c r="E23" s="2" t="s">
        <v>34</v>
      </c>
      <c r="F23" s="9" cm="1">
        <f t="array" ref="F23">+IF(E23=$K$11,0,_xlfn.IFS(E23=$K$12,$L$12,E23=$K$13,$L$13,E23=$K$14,$L$14))</f>
        <v>3900</v>
      </c>
    </row>
    <row r="24" spans="1:8" x14ac:dyDescent="0.3">
      <c r="A24" s="12" t="s">
        <v>109</v>
      </c>
      <c r="B24" s="13" t="s">
        <v>110</v>
      </c>
      <c r="C24" s="14">
        <v>5301102</v>
      </c>
      <c r="D24" s="2">
        <f>+D23-C24</f>
        <v>27803638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77</v>
      </c>
      <c r="B25" s="13" t="s">
        <v>111</v>
      </c>
      <c r="C25" s="14">
        <v>1102785</v>
      </c>
      <c r="D25" s="2">
        <f t="shared" ref="D25:D40" si="0">+D24-C25</f>
        <v>26700853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54</v>
      </c>
      <c r="B26" s="13" t="s">
        <v>112</v>
      </c>
      <c r="C26" s="14">
        <v>16871000</v>
      </c>
      <c r="D26" s="2">
        <f t="shared" si="0"/>
        <v>9829853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65</v>
      </c>
      <c r="B27" s="13" t="s">
        <v>113</v>
      </c>
      <c r="C27" s="14">
        <v>5628597</v>
      </c>
      <c r="D27" s="2">
        <f t="shared" si="0"/>
        <v>4201256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114</v>
      </c>
      <c r="B28" s="13"/>
      <c r="C28" s="14">
        <v>560000</v>
      </c>
      <c r="D28" s="2">
        <f t="shared" si="0"/>
        <v>3641256</v>
      </c>
      <c r="E28" s="2" t="s">
        <v>34</v>
      </c>
      <c r="F28" s="9" cm="1">
        <f t="array" ref="F28">+IF(E28=$K$11,0,_xlfn.IFS(E28=$K$12,$L$12,E28=$K$13,$L$13,E28=$K$14,$L$14))</f>
        <v>3900</v>
      </c>
    </row>
    <row r="29" spans="1:8" x14ac:dyDescent="0.3">
      <c r="A29" s="12"/>
      <c r="B29" s="13"/>
      <c r="C29" s="14"/>
      <c r="D29" s="2">
        <f t="shared" si="0"/>
        <v>3641256</v>
      </c>
      <c r="F29" s="9" cm="1">
        <f t="array" ref="F29">+IF(E29=$K$11,0,_xlfn.IFS(E29=$K$12,$L$12,E29=$K$13,$L$13,E29=$K$14,$L$14))</f>
        <v>0</v>
      </c>
    </row>
    <row r="30" spans="1:8" x14ac:dyDescent="0.3">
      <c r="A30" s="12"/>
      <c r="B30" s="13"/>
      <c r="C30" s="14"/>
      <c r="D30" s="2">
        <f t="shared" si="0"/>
        <v>3641256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3641256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3641256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3641256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3641256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3641256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3641256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3641256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BAQ-18378</v>
      </c>
      <c r="C38" s="16">
        <v>150000</v>
      </c>
      <c r="D38" s="2">
        <f t="shared" si="0"/>
        <v>3491256</v>
      </c>
      <c r="E38" s="6" t="s">
        <v>12</v>
      </c>
      <c r="F38" s="9">
        <f>+SUM(F23:F37)+$D$18</f>
        <v>9750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3415256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138418.96</v>
      </c>
      <c r="D40" s="2">
        <f t="shared" si="0"/>
        <v>3276837.04</v>
      </c>
      <c r="F40" s="9"/>
    </row>
    <row r="41" spans="1:6" x14ac:dyDescent="0.3">
      <c r="A41" s="20" t="s">
        <v>20</v>
      </c>
      <c r="B41" s="21"/>
      <c r="C41" s="22">
        <f>+$F$38</f>
        <v>9750</v>
      </c>
      <c r="D41" s="2">
        <f>+D40-C41</f>
        <v>3267087.04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BAQ-18378</v>
      </c>
    </row>
    <row r="45" spans="1:6" x14ac:dyDescent="0.3">
      <c r="A45" s="25" t="s">
        <v>21</v>
      </c>
      <c r="B45" s="26">
        <v>46110</v>
      </c>
    </row>
    <row r="46" spans="1:6" x14ac:dyDescent="0.3">
      <c r="A46" s="25" t="s">
        <v>12</v>
      </c>
      <c r="B46" s="27">
        <v>31405713</v>
      </c>
    </row>
    <row r="47" spans="1:6" x14ac:dyDescent="0.3">
      <c r="A47" s="47" t="str">
        <f>+IF($B$47&gt;0,"SALDO A FAVOR","SALDO A CARGO")</f>
        <v>SALDO A FAVOR</v>
      </c>
      <c r="B47" s="48">
        <f>+$B$20-$B$46</f>
        <v>3199027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68060.040000000037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68060.040000000037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DO.CTG26-0079</v>
      </c>
      <c r="B58" s="39" t="str">
        <f>+$B$2</f>
        <v>BAQ-18378</v>
      </c>
      <c r="C58" s="56">
        <f>+$B$20</f>
        <v>34604740</v>
      </c>
      <c r="D58" s="57">
        <f>+$B$45</f>
        <v>46110</v>
      </c>
      <c r="E58" s="56">
        <f>+$B$46</f>
        <v>31405713</v>
      </c>
      <c r="F58" s="56">
        <f>+$B$47</f>
        <v>3199027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68060.040000000037</v>
      </c>
      <c r="J58" s="39" t="str">
        <f>+IF($B$55&gt;0,"SALDO A FAVOR","SALDO A CARGO")</f>
        <v>SALDO A FAVOR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436" priority="21">
      <formula>$E$23="PSE"</formula>
    </cfRule>
  </conditionalFormatting>
  <conditionalFormatting sqref="A24:C24">
    <cfRule type="expression" dxfId="435" priority="20">
      <formula>$E$24="PSE"</formula>
    </cfRule>
  </conditionalFormatting>
  <conditionalFormatting sqref="A25:C25">
    <cfRule type="expression" dxfId="434" priority="19">
      <formula>$E$25="PSE"</formula>
    </cfRule>
  </conditionalFormatting>
  <conditionalFormatting sqref="A26:C26">
    <cfRule type="expression" dxfId="433" priority="18">
      <formula>$E$26="PSE"</formula>
    </cfRule>
  </conditionalFormatting>
  <conditionalFormatting sqref="A27:C27">
    <cfRule type="expression" dxfId="432" priority="17">
      <formula>$E$27="PSE"</formula>
    </cfRule>
  </conditionalFormatting>
  <conditionalFormatting sqref="A28:C28">
    <cfRule type="expression" dxfId="431" priority="16">
      <formula>$E$28="PSE"</formula>
    </cfRule>
  </conditionalFormatting>
  <conditionalFormatting sqref="A29:C29">
    <cfRule type="expression" dxfId="430" priority="15">
      <formula>$E$29="PSE"</formula>
    </cfRule>
  </conditionalFormatting>
  <conditionalFormatting sqref="A30:C30">
    <cfRule type="expression" dxfId="429" priority="14">
      <formula>$E$30="PSE"</formula>
    </cfRule>
  </conditionalFormatting>
  <conditionalFormatting sqref="A31:C31">
    <cfRule type="expression" dxfId="428" priority="13">
      <formula>$E$31="PSE"</formula>
    </cfRule>
  </conditionalFormatting>
  <conditionalFormatting sqref="A32:C32">
    <cfRule type="expression" dxfId="427" priority="12">
      <formula>$E$32="PSE"</formula>
    </cfRule>
  </conditionalFormatting>
  <conditionalFormatting sqref="A33:C33">
    <cfRule type="expression" dxfId="426" priority="11">
      <formula>$E$33="PSE"</formula>
    </cfRule>
  </conditionalFormatting>
  <conditionalFormatting sqref="A34:C34">
    <cfRule type="expression" dxfId="425" priority="10">
      <formula>$E$34="PSE"</formula>
    </cfRule>
  </conditionalFormatting>
  <conditionalFormatting sqref="A35:C35">
    <cfRule type="expression" dxfId="424" priority="9">
      <formula>$E$35="PSE"</formula>
    </cfRule>
  </conditionalFormatting>
  <conditionalFormatting sqref="A36:C36">
    <cfRule type="expression" dxfId="423" priority="8">
      <formula>$E$36="PSE"</formula>
    </cfRule>
  </conditionalFormatting>
  <conditionalFormatting sqref="A37:C37">
    <cfRule type="expression" dxfId="422" priority="7">
      <formula>$E$37="PSE"</formula>
    </cfRule>
  </conditionalFormatting>
  <conditionalFormatting sqref="B51">
    <cfRule type="cellIs" dxfId="421" priority="22" operator="lessThan">
      <formula>0</formula>
    </cfRule>
    <cfRule type="cellIs" dxfId="420" priority="23" operator="greaterThan">
      <formula>0</formula>
    </cfRule>
  </conditionalFormatting>
  <conditionalFormatting sqref="B55">
    <cfRule type="cellIs" dxfId="419" priority="5" operator="greaterThan">
      <formula>0</formula>
    </cfRule>
    <cfRule type="cellIs" dxfId="418" priority="6" operator="lessThan">
      <formula>0</formula>
    </cfRule>
  </conditionalFormatting>
  <conditionalFormatting sqref="D23:D41 B47">
    <cfRule type="cellIs" dxfId="417" priority="24" operator="lessThan">
      <formula>0</formula>
    </cfRule>
    <cfRule type="cellIs" dxfId="416" priority="25" operator="greaterThan">
      <formula>0</formula>
    </cfRule>
  </conditionalFormatting>
  <conditionalFormatting sqref="F58">
    <cfRule type="cellIs" dxfId="415" priority="3" operator="lessThan">
      <formula>0</formula>
    </cfRule>
    <cfRule type="cellIs" dxfId="414" priority="4" operator="greaterThan">
      <formula>0</formula>
    </cfRule>
  </conditionalFormatting>
  <conditionalFormatting sqref="I58">
    <cfRule type="cellIs" dxfId="413" priority="1" operator="lessThan">
      <formula>0</formula>
    </cfRule>
    <cfRule type="cellIs" dxfId="412" priority="2" operator="greaterThan">
      <formula>0</formula>
    </cfRule>
  </conditionalFormatting>
  <dataValidations count="4">
    <dataValidation type="list" showInputMessage="1" showErrorMessage="1" sqref="B49" xr:uid="{C5832186-6C8C-4B9C-ADDA-D75C82C97290}">
      <formula1>$K$5:$K$14</formula1>
    </dataValidation>
    <dataValidation type="list" allowBlank="1" showInputMessage="1" showErrorMessage="1" sqref="B53" xr:uid="{56A252C3-D447-432F-A216-9563EF8FCBDE}">
      <formula1>$K$12:$K$14</formula1>
    </dataValidation>
    <dataValidation type="list" showInputMessage="1" showErrorMessage="1" sqref="E23:E37 E39:E41" xr:uid="{2AE30B4F-9FE9-427C-A376-D2A2403B75B3}">
      <formula1>$K$12:$K$14</formula1>
    </dataValidation>
    <dataValidation type="list" allowBlank="1" showInputMessage="1" showErrorMessage="1" sqref="C5:C17" xr:uid="{AEF88EAB-C8C7-4FFE-9C0F-831243EC850E}">
      <formula1>$K$5:$K$10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22B2D-7C92-479F-B690-7A361F0D6923}">
  <dimension ref="A1:O58"/>
  <sheetViews>
    <sheetView topLeftCell="A27" workbookViewId="0">
      <selection activeCell="E43" sqref="E43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126</v>
      </c>
      <c r="B2" s="4" t="s">
        <v>163</v>
      </c>
      <c r="F2" s="28"/>
      <c r="G2" s="5" t="s">
        <v>24</v>
      </c>
      <c r="I2" s="5" t="str">
        <f>+$B$2</f>
        <v>BAQ-18413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46118</v>
      </c>
      <c r="B5" s="9">
        <v>31922180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31922180</v>
      </c>
      <c r="C20" s="6" t="s">
        <v>27</v>
      </c>
      <c r="D20" s="2">
        <f>+IF($A$47="SALDO A FAVOR",$B$20*0.004,($B$20+ABS($B$47))*0.004)</f>
        <v>136476.53200000001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50</v>
      </c>
      <c r="B23" s="13"/>
      <c r="C23" s="14">
        <v>700000</v>
      </c>
      <c r="D23" s="2">
        <f>+$B$20-C23</f>
        <v>31222180</v>
      </c>
      <c r="E23" s="2" t="s">
        <v>34</v>
      </c>
      <c r="F23" s="9" cm="1">
        <f t="array" ref="F23">+IF(E23=$K$11,0,_xlfn.IFS(E23=$K$12,$L$12,E23=$K$13,$L$13,E23=$K$14,$L$14))</f>
        <v>3900</v>
      </c>
    </row>
    <row r="24" spans="1:8" x14ac:dyDescent="0.3">
      <c r="A24" s="12" t="s">
        <v>77</v>
      </c>
      <c r="B24" s="13" t="s">
        <v>141</v>
      </c>
      <c r="C24" s="14">
        <v>878360</v>
      </c>
      <c r="D24" s="2">
        <f>+D23-C24</f>
        <v>30343820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75</v>
      </c>
      <c r="B25" s="13" t="s">
        <v>142</v>
      </c>
      <c r="C25" s="14">
        <v>5299016</v>
      </c>
      <c r="D25" s="2">
        <f t="shared" ref="D25:D40" si="0">+D24-C25</f>
        <v>25044804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132</v>
      </c>
      <c r="B26" s="13"/>
      <c r="C26" s="14">
        <v>1500000</v>
      </c>
      <c r="D26" s="2">
        <f t="shared" si="0"/>
        <v>23544804</v>
      </c>
      <c r="E26" s="2" t="s">
        <v>34</v>
      </c>
      <c r="F26" s="9" cm="1">
        <f t="array" ref="F26">+IF(E26=$K$11,0,_xlfn.IFS(E26=$K$12,$L$12,E26=$K$13,$L$13,E26=$K$14,$L$14))</f>
        <v>3900</v>
      </c>
    </row>
    <row r="27" spans="1:8" x14ac:dyDescent="0.3">
      <c r="A27" s="12" t="s">
        <v>54</v>
      </c>
      <c r="B27" s="13" t="s">
        <v>143</v>
      </c>
      <c r="C27" s="14">
        <v>16023000</v>
      </c>
      <c r="D27" s="2">
        <f t="shared" si="0"/>
        <v>7521804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65</v>
      </c>
      <c r="B28" s="13" t="s">
        <v>144</v>
      </c>
      <c r="C28" s="14">
        <v>6851982</v>
      </c>
      <c r="D28" s="2">
        <f t="shared" si="0"/>
        <v>669822</v>
      </c>
      <c r="E28" s="2" t="s">
        <v>10</v>
      </c>
      <c r="F28" s="9" cm="1">
        <f t="array" ref="F28">+IF(E28=$K$11,0,_xlfn.IFS(E28=$K$12,$L$12,E28=$K$13,$L$13,E28=$K$14,$L$14))</f>
        <v>0</v>
      </c>
    </row>
    <row r="29" spans="1:8" x14ac:dyDescent="0.3">
      <c r="A29" s="12" t="s">
        <v>77</v>
      </c>
      <c r="B29" s="13" t="s">
        <v>145</v>
      </c>
      <c r="C29" s="14">
        <v>214839</v>
      </c>
      <c r="D29" s="2">
        <f t="shared" si="0"/>
        <v>454983</v>
      </c>
      <c r="E29" s="2" t="s">
        <v>10</v>
      </c>
      <c r="F29" s="9" cm="1">
        <f t="array" ref="F29">+IF(E29=$K$11,0,_xlfn.IFS(E29=$K$12,$L$12,E29=$K$13,$L$13,E29=$K$14,$L$14))</f>
        <v>0</v>
      </c>
    </row>
    <row r="30" spans="1:8" x14ac:dyDescent="0.3">
      <c r="A30" s="12" t="s">
        <v>84</v>
      </c>
      <c r="B30" s="13"/>
      <c r="C30" s="14">
        <v>1200000</v>
      </c>
      <c r="D30" s="2">
        <f t="shared" si="0"/>
        <v>-745017</v>
      </c>
      <c r="E30" s="2" t="s">
        <v>34</v>
      </c>
      <c r="F30" s="9" cm="1">
        <f t="array" ref="F30">+IF(E30=$K$11,0,_xlfn.IFS(E30=$K$12,$L$12,E30=$K$13,$L$13,E30=$K$14,$L$14))</f>
        <v>3900</v>
      </c>
    </row>
    <row r="31" spans="1:8" x14ac:dyDescent="0.3">
      <c r="A31" s="12" t="s">
        <v>65</v>
      </c>
      <c r="B31" s="13" t="s">
        <v>146</v>
      </c>
      <c r="C31" s="14">
        <v>1236644</v>
      </c>
      <c r="D31" s="2">
        <f t="shared" si="0"/>
        <v>-1981661</v>
      </c>
      <c r="E31" s="2" t="s">
        <v>10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-1981661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-1981661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-1981661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-1981661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-1981661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-1981661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BAQ-18413</v>
      </c>
      <c r="C38" s="16">
        <v>150000</v>
      </c>
      <c r="D38" s="2">
        <f t="shared" si="0"/>
        <v>-2131661</v>
      </c>
      <c r="E38" s="6" t="s">
        <v>12</v>
      </c>
      <c r="F38" s="9">
        <f>+SUM(F23:F37)+$D$18</f>
        <v>13650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-2207661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136476.53200000001</v>
      </c>
      <c r="D40" s="2">
        <f t="shared" si="0"/>
        <v>-2344137.5320000001</v>
      </c>
      <c r="F40" s="9"/>
    </row>
    <row r="41" spans="1:6" x14ac:dyDescent="0.3">
      <c r="A41" s="20" t="s">
        <v>20</v>
      </c>
      <c r="B41" s="21"/>
      <c r="C41" s="22">
        <f>+$F$38</f>
        <v>13650</v>
      </c>
      <c r="D41" s="2">
        <f>+D40-C41</f>
        <v>-2357787.5320000001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BAQ-18413</v>
      </c>
    </row>
    <row r="45" spans="1:6" x14ac:dyDescent="0.3">
      <c r="A45" s="25" t="s">
        <v>21</v>
      </c>
      <c r="B45" s="26">
        <v>46134</v>
      </c>
    </row>
    <row r="46" spans="1:6" x14ac:dyDescent="0.3">
      <c r="A46" s="25" t="s">
        <v>12</v>
      </c>
      <c r="B46" s="27">
        <v>34119133</v>
      </c>
    </row>
    <row r="47" spans="1:6" x14ac:dyDescent="0.3">
      <c r="A47" s="47" t="str">
        <f>+IF($B$47&gt;0,"SALDO A FAVOR","SALDO A CARGO")</f>
        <v>SALDO A CARGO</v>
      </c>
      <c r="B47" s="48">
        <f>+$B$20-$B$46</f>
        <v>-2196953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RECAUDO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-2357787.5320000001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RECAUDO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-2357787.5320000001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DO.CTG26-0090</v>
      </c>
      <c r="B58" s="39" t="str">
        <f>+$B$2</f>
        <v>BAQ-18413</v>
      </c>
      <c r="C58" s="56">
        <f>+$B$20</f>
        <v>31922180</v>
      </c>
      <c r="D58" s="57">
        <f>+$B$45</f>
        <v>46134</v>
      </c>
      <c r="E58" s="56">
        <f>+$B$46</f>
        <v>34119133</v>
      </c>
      <c r="F58" s="56">
        <f>+$B$47</f>
        <v>-2196953</v>
      </c>
      <c r="G58" s="39" t="str">
        <f>+IF(F58&gt;0,"SALDO A FAVOR","SALDO A CARGO")</f>
        <v>SALDO A CARGO</v>
      </c>
      <c r="H58" s="58" t="str">
        <f>+$B$48</f>
        <v>X</v>
      </c>
      <c r="I58" s="55">
        <f>+$B$55</f>
        <v>-2357787.5320000001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411" priority="21">
      <formula>$E$23="PSE"</formula>
    </cfRule>
  </conditionalFormatting>
  <conditionalFormatting sqref="A24:C24">
    <cfRule type="expression" dxfId="410" priority="20">
      <formula>$E$24="PSE"</formula>
    </cfRule>
  </conditionalFormatting>
  <conditionalFormatting sqref="A25:C25">
    <cfRule type="expression" dxfId="409" priority="19">
      <formula>$E$25="PSE"</formula>
    </cfRule>
  </conditionalFormatting>
  <conditionalFormatting sqref="A26:C26">
    <cfRule type="expression" dxfId="408" priority="18">
      <formula>$E$26="PSE"</formula>
    </cfRule>
  </conditionalFormatting>
  <conditionalFormatting sqref="A27:C27">
    <cfRule type="expression" dxfId="407" priority="17">
      <formula>$E$27="PSE"</formula>
    </cfRule>
  </conditionalFormatting>
  <conditionalFormatting sqref="A28:C28">
    <cfRule type="expression" dxfId="406" priority="16">
      <formula>$E$28="PSE"</formula>
    </cfRule>
  </conditionalFormatting>
  <conditionalFormatting sqref="A29:C29">
    <cfRule type="expression" dxfId="405" priority="15">
      <formula>$E$29="PSE"</formula>
    </cfRule>
  </conditionalFormatting>
  <conditionalFormatting sqref="A30:C30">
    <cfRule type="expression" dxfId="404" priority="14">
      <formula>$E$30="PSE"</formula>
    </cfRule>
  </conditionalFormatting>
  <conditionalFormatting sqref="A31:C31">
    <cfRule type="expression" dxfId="403" priority="13">
      <formula>$E$31="PSE"</formula>
    </cfRule>
  </conditionalFormatting>
  <conditionalFormatting sqref="A32:C32">
    <cfRule type="expression" dxfId="402" priority="12">
      <formula>$E$32="PSE"</formula>
    </cfRule>
  </conditionalFormatting>
  <conditionalFormatting sqref="A33:C33">
    <cfRule type="expression" dxfId="401" priority="11">
      <formula>$E$33="PSE"</formula>
    </cfRule>
  </conditionalFormatting>
  <conditionalFormatting sqref="A34:C34">
    <cfRule type="expression" dxfId="400" priority="10">
      <formula>$E$34="PSE"</formula>
    </cfRule>
  </conditionalFormatting>
  <conditionalFormatting sqref="A35:C35">
    <cfRule type="expression" dxfId="399" priority="9">
      <formula>$E$35="PSE"</formula>
    </cfRule>
  </conditionalFormatting>
  <conditionalFormatting sqref="A36:C36">
    <cfRule type="expression" dxfId="398" priority="8">
      <formula>$E$36="PSE"</formula>
    </cfRule>
  </conditionalFormatting>
  <conditionalFormatting sqref="A37:C37">
    <cfRule type="expression" dxfId="397" priority="7">
      <formula>$E$37="PSE"</formula>
    </cfRule>
  </conditionalFormatting>
  <conditionalFormatting sqref="B51">
    <cfRule type="cellIs" dxfId="396" priority="22" operator="lessThan">
      <formula>0</formula>
    </cfRule>
    <cfRule type="cellIs" dxfId="395" priority="23" operator="greaterThan">
      <formula>0</formula>
    </cfRule>
  </conditionalFormatting>
  <conditionalFormatting sqref="B55">
    <cfRule type="cellIs" dxfId="394" priority="5" operator="greaterThan">
      <formula>0</formula>
    </cfRule>
    <cfRule type="cellIs" dxfId="393" priority="6" operator="lessThan">
      <formula>0</formula>
    </cfRule>
  </conditionalFormatting>
  <conditionalFormatting sqref="D23:D41 B47">
    <cfRule type="cellIs" dxfId="392" priority="24" operator="lessThan">
      <formula>0</formula>
    </cfRule>
    <cfRule type="cellIs" dxfId="391" priority="25" operator="greaterThan">
      <formula>0</formula>
    </cfRule>
  </conditionalFormatting>
  <conditionalFormatting sqref="F58">
    <cfRule type="cellIs" dxfId="390" priority="3" operator="lessThan">
      <formula>0</formula>
    </cfRule>
    <cfRule type="cellIs" dxfId="389" priority="4" operator="greaterThan">
      <formula>0</formula>
    </cfRule>
  </conditionalFormatting>
  <conditionalFormatting sqref="I58">
    <cfRule type="cellIs" dxfId="388" priority="1" operator="lessThan">
      <formula>0</formula>
    </cfRule>
    <cfRule type="cellIs" dxfId="387" priority="2" operator="greaterThan">
      <formula>0</formula>
    </cfRule>
  </conditionalFormatting>
  <dataValidations count="4">
    <dataValidation type="list" allowBlank="1" showInputMessage="1" showErrorMessage="1" sqref="C5:C17" xr:uid="{4F1FE8C2-FFD5-4E3D-869B-F1AB2A5303B1}">
      <formula1>$K$5:$K$10</formula1>
    </dataValidation>
    <dataValidation type="list" showInputMessage="1" showErrorMessage="1" sqref="E23:E37 E39:E41" xr:uid="{74C1EA48-AC92-4F87-8CE6-B15A572FD45D}">
      <formula1>$K$12:$K$14</formula1>
    </dataValidation>
    <dataValidation type="list" allowBlank="1" showInputMessage="1" showErrorMessage="1" sqref="B53" xr:uid="{14B8C199-2F1B-4DD7-A488-4C2C072DA57C}">
      <formula1>$K$12:$K$14</formula1>
    </dataValidation>
    <dataValidation type="list" showInputMessage="1" showErrorMessage="1" sqref="B49" xr:uid="{B0687A82-C525-4B67-8466-86E2B526C87A}">
      <formula1>$K$5:$K$14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5480-6F5E-452C-B9BC-64A0E91DF601}">
  <dimension ref="A1:O58"/>
  <sheetViews>
    <sheetView topLeftCell="A24" workbookViewId="0">
      <selection activeCell="E42" sqref="E42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122</v>
      </c>
      <c r="B2" s="4" t="s">
        <v>165</v>
      </c>
      <c r="F2" s="28"/>
      <c r="G2" s="5" t="s">
        <v>24</v>
      </c>
      <c r="I2" s="5" t="str">
        <f>+$B$2</f>
        <v>BAQ-18415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46118</v>
      </c>
      <c r="B5" s="9">
        <v>34411000</v>
      </c>
      <c r="C5" s="9"/>
      <c r="D5" s="9" cm="1">
        <f t="array" ref="D5">+IF(C5=$K$7,0,_xlfn.IFS(C5=$K$5,$L$5,C5=$K$6,$L$6,C5=$K$8,$L$8,C5=$K$9,$L$9,C5=$K$10,$L$10))</f>
        <v>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34411000</v>
      </c>
      <c r="C20" s="6" t="s">
        <v>27</v>
      </c>
      <c r="D20" s="2">
        <f>+IF($A$47="SALDO A FAVOR",$B$20*0.004,($B$20+ABS($B$47))*0.004)</f>
        <v>137644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50</v>
      </c>
      <c r="B23" s="13"/>
      <c r="C23" s="14">
        <v>1100000</v>
      </c>
      <c r="D23" s="2">
        <f>+$B$20-C23</f>
        <v>33311000</v>
      </c>
      <c r="E23" s="2" t="s">
        <v>34</v>
      </c>
      <c r="F23" s="9" cm="1">
        <f t="array" ref="F23">+IF(E23=$K$11,0,_xlfn.IFS(E23=$K$12,$L$12,E23=$K$13,$L$13,E23=$K$14,$L$14))</f>
        <v>3900</v>
      </c>
    </row>
    <row r="24" spans="1:8" x14ac:dyDescent="0.3">
      <c r="A24" s="12" t="s">
        <v>77</v>
      </c>
      <c r="B24" s="13" t="s">
        <v>128</v>
      </c>
      <c r="C24" s="14">
        <v>1095147</v>
      </c>
      <c r="D24" s="2">
        <f>+D23-C24</f>
        <v>32215853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75</v>
      </c>
      <c r="B25" s="13" t="s">
        <v>129</v>
      </c>
      <c r="C25" s="14">
        <v>5299016</v>
      </c>
      <c r="D25" s="2">
        <f t="shared" ref="D25:D40" si="0">+D24-C25</f>
        <v>26916837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54</v>
      </c>
      <c r="B26" s="13" t="s">
        <v>130</v>
      </c>
      <c r="C26" s="14">
        <v>1028000</v>
      </c>
      <c r="D26" s="2">
        <f t="shared" si="0"/>
        <v>25888837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54</v>
      </c>
      <c r="B27" s="13" t="s">
        <v>131</v>
      </c>
      <c r="C27" s="14">
        <v>17006000</v>
      </c>
      <c r="D27" s="2">
        <f t="shared" si="0"/>
        <v>8882837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132</v>
      </c>
      <c r="B28" s="13"/>
      <c r="C28" s="14">
        <v>1500000</v>
      </c>
      <c r="D28" s="2">
        <f t="shared" si="0"/>
        <v>7382837</v>
      </c>
      <c r="E28" s="2" t="s">
        <v>34</v>
      </c>
      <c r="F28" s="9" cm="1">
        <f t="array" ref="F28">+IF(E28=$K$11,0,_xlfn.IFS(E28=$K$12,$L$12,E28=$K$13,$L$13,E28=$K$14,$L$14))</f>
        <v>3900</v>
      </c>
    </row>
    <row r="29" spans="1:8" x14ac:dyDescent="0.3">
      <c r="A29" s="12" t="s">
        <v>65</v>
      </c>
      <c r="B29" s="13" t="s">
        <v>133</v>
      </c>
      <c r="C29" s="14">
        <v>5612935</v>
      </c>
      <c r="D29" s="2">
        <f t="shared" si="0"/>
        <v>1769902</v>
      </c>
      <c r="E29" s="2" t="s">
        <v>10</v>
      </c>
      <c r="F29" s="9" cm="1">
        <f t="array" ref="F29">+IF(E29=$K$11,0,_xlfn.IFS(E29=$K$12,$L$12,E29=$K$13,$L$13,E29=$K$14,$L$14))</f>
        <v>0</v>
      </c>
    </row>
    <row r="30" spans="1:8" x14ac:dyDescent="0.3">
      <c r="A30" s="12" t="s">
        <v>84</v>
      </c>
      <c r="B30" s="13"/>
      <c r="C30" s="14">
        <v>1200000</v>
      </c>
      <c r="D30" s="2">
        <f t="shared" si="0"/>
        <v>569902</v>
      </c>
      <c r="E30" s="2" t="s">
        <v>34</v>
      </c>
      <c r="F30" s="9" cm="1">
        <f t="array" ref="F30">+IF(E30=$K$11,0,_xlfn.IFS(E30=$K$12,$L$12,E30=$K$13,$L$13,E30=$K$14,$L$14))</f>
        <v>3900</v>
      </c>
    </row>
    <row r="31" spans="1:8" x14ac:dyDescent="0.3">
      <c r="A31" s="12"/>
      <c r="B31" s="13"/>
      <c r="C31" s="14"/>
      <c r="D31" s="2">
        <f t="shared" si="0"/>
        <v>569902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569902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569902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569902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569902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569902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569902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BAQ-18415</v>
      </c>
      <c r="C38" s="16">
        <v>150000</v>
      </c>
      <c r="D38" s="2">
        <f t="shared" si="0"/>
        <v>419902</v>
      </c>
      <c r="E38" s="6" t="s">
        <v>12</v>
      </c>
      <c r="F38" s="9">
        <f>+SUM(F23:F37)+$D$18</f>
        <v>11700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343902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137644</v>
      </c>
      <c r="D40" s="2">
        <f t="shared" si="0"/>
        <v>206258</v>
      </c>
      <c r="F40" s="9"/>
    </row>
    <row r="41" spans="1:6" x14ac:dyDescent="0.3">
      <c r="A41" s="20" t="s">
        <v>20</v>
      </c>
      <c r="B41" s="21"/>
      <c r="C41" s="22">
        <f>+$F$38</f>
        <v>11700</v>
      </c>
      <c r="D41" s="2">
        <f>+D40-C41</f>
        <v>194558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BAQ-18415</v>
      </c>
    </row>
    <row r="45" spans="1:6" x14ac:dyDescent="0.3">
      <c r="A45" s="25" t="s">
        <v>21</v>
      </c>
      <c r="B45" s="26">
        <v>46134</v>
      </c>
    </row>
    <row r="46" spans="1:6" x14ac:dyDescent="0.3">
      <c r="A46" s="25" t="s">
        <v>12</v>
      </c>
      <c r="B46" s="27">
        <v>34235758</v>
      </c>
    </row>
    <row r="47" spans="1:6" x14ac:dyDescent="0.3">
      <c r="A47" s="47" t="str">
        <f>+IF($B$47&gt;0,"SALDO A FAVOR","SALDO A CARGO")</f>
        <v>SALDO A FAVOR</v>
      </c>
      <c r="B47" s="48">
        <f>+$B$20-$B$46</f>
        <v>175242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19316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19316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DO.CTG26-0098</v>
      </c>
      <c r="B58" s="39" t="str">
        <f>+$B$2</f>
        <v>BAQ-18415</v>
      </c>
      <c r="C58" s="56">
        <f>+$B$20</f>
        <v>34411000</v>
      </c>
      <c r="D58" s="57">
        <f>+$B$45</f>
        <v>46134</v>
      </c>
      <c r="E58" s="56">
        <f>+$B$46</f>
        <v>34235758</v>
      </c>
      <c r="F58" s="56">
        <f>+$B$47</f>
        <v>175242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19316</v>
      </c>
      <c r="J58" s="39" t="str">
        <f>+IF($B$55&gt;0,"SALDO A FAVOR","SALDO A CARGO")</f>
        <v>SALDO A FAVOR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386" priority="21">
      <formula>$E$23="PSE"</formula>
    </cfRule>
  </conditionalFormatting>
  <conditionalFormatting sqref="A24:C24">
    <cfRule type="expression" dxfId="385" priority="20">
      <formula>$E$24="PSE"</formula>
    </cfRule>
  </conditionalFormatting>
  <conditionalFormatting sqref="A25:C25">
    <cfRule type="expression" dxfId="384" priority="19">
      <formula>$E$25="PSE"</formula>
    </cfRule>
  </conditionalFormatting>
  <conditionalFormatting sqref="A26:C26">
    <cfRule type="expression" dxfId="383" priority="18">
      <formula>$E$26="PSE"</formula>
    </cfRule>
  </conditionalFormatting>
  <conditionalFormatting sqref="A27:C27">
    <cfRule type="expression" dxfId="382" priority="17">
      <formula>$E$27="PSE"</formula>
    </cfRule>
  </conditionalFormatting>
  <conditionalFormatting sqref="A28:C28">
    <cfRule type="expression" dxfId="381" priority="16">
      <formula>$E$28="PSE"</formula>
    </cfRule>
  </conditionalFormatting>
  <conditionalFormatting sqref="A29:C29">
    <cfRule type="expression" dxfId="380" priority="15">
      <formula>$E$29="PSE"</formula>
    </cfRule>
  </conditionalFormatting>
  <conditionalFormatting sqref="A30:C30">
    <cfRule type="expression" dxfId="379" priority="14">
      <formula>$E$30="PSE"</formula>
    </cfRule>
  </conditionalFormatting>
  <conditionalFormatting sqref="A31:C31">
    <cfRule type="expression" dxfId="378" priority="13">
      <formula>$E$31="PSE"</formula>
    </cfRule>
  </conditionalFormatting>
  <conditionalFormatting sqref="A32:C32">
    <cfRule type="expression" dxfId="377" priority="12">
      <formula>$E$32="PSE"</formula>
    </cfRule>
  </conditionalFormatting>
  <conditionalFormatting sqref="A33:C33">
    <cfRule type="expression" dxfId="376" priority="11">
      <formula>$E$33="PSE"</formula>
    </cfRule>
  </conditionalFormatting>
  <conditionalFormatting sqref="A34:C34">
    <cfRule type="expression" dxfId="375" priority="10">
      <formula>$E$34="PSE"</formula>
    </cfRule>
  </conditionalFormatting>
  <conditionalFormatting sqref="A35:C35">
    <cfRule type="expression" dxfId="374" priority="9">
      <formula>$E$35="PSE"</formula>
    </cfRule>
  </conditionalFormatting>
  <conditionalFormatting sqref="A36:C36">
    <cfRule type="expression" dxfId="373" priority="8">
      <formula>$E$36="PSE"</formula>
    </cfRule>
  </conditionalFormatting>
  <conditionalFormatting sqref="A37:C37">
    <cfRule type="expression" dxfId="372" priority="7">
      <formula>$E$37="PSE"</formula>
    </cfRule>
  </conditionalFormatting>
  <conditionalFormatting sqref="B51">
    <cfRule type="cellIs" dxfId="371" priority="22" operator="lessThan">
      <formula>0</formula>
    </cfRule>
    <cfRule type="cellIs" dxfId="370" priority="23" operator="greaterThan">
      <formula>0</formula>
    </cfRule>
  </conditionalFormatting>
  <conditionalFormatting sqref="B55">
    <cfRule type="cellIs" dxfId="369" priority="5" operator="greaterThan">
      <formula>0</formula>
    </cfRule>
    <cfRule type="cellIs" dxfId="368" priority="6" operator="lessThan">
      <formula>0</formula>
    </cfRule>
  </conditionalFormatting>
  <conditionalFormatting sqref="D23:D41 B47">
    <cfRule type="cellIs" dxfId="367" priority="24" operator="lessThan">
      <formula>0</formula>
    </cfRule>
    <cfRule type="cellIs" dxfId="366" priority="25" operator="greaterThan">
      <formula>0</formula>
    </cfRule>
  </conditionalFormatting>
  <conditionalFormatting sqref="F58">
    <cfRule type="cellIs" dxfId="365" priority="3" operator="lessThan">
      <formula>0</formula>
    </cfRule>
    <cfRule type="cellIs" dxfId="364" priority="4" operator="greaterThan">
      <formula>0</formula>
    </cfRule>
  </conditionalFormatting>
  <conditionalFormatting sqref="I58">
    <cfRule type="cellIs" dxfId="363" priority="1" operator="lessThan">
      <formula>0</formula>
    </cfRule>
    <cfRule type="cellIs" dxfId="362" priority="2" operator="greaterThan">
      <formula>0</formula>
    </cfRule>
  </conditionalFormatting>
  <dataValidations count="4">
    <dataValidation type="list" showInputMessage="1" showErrorMessage="1" sqref="B49" xr:uid="{06C5F934-7C2E-49DC-9898-957CE5775934}">
      <formula1>$K$5:$K$14</formula1>
    </dataValidation>
    <dataValidation type="list" allowBlank="1" showInputMessage="1" showErrorMessage="1" sqref="B53" xr:uid="{851373D7-41B8-4B3D-85E6-62DEE11C74CE}">
      <formula1>$K$12:$K$14</formula1>
    </dataValidation>
    <dataValidation type="list" showInputMessage="1" showErrorMessage="1" sqref="E23:E37 E39:E41" xr:uid="{9BF84F6C-7469-4E21-9C37-18041DE23EE4}">
      <formula1>$K$12:$K$14</formula1>
    </dataValidation>
    <dataValidation type="list" allowBlank="1" showInputMessage="1" showErrorMessage="1" sqref="C5:C17" xr:uid="{96CC2E21-7D95-4659-AC16-980EF83B37C1}">
      <formula1>$K$5:$K$10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125FA-D593-4583-8704-645249FE7EFC}">
  <dimension ref="A1:O58"/>
  <sheetViews>
    <sheetView topLeftCell="A21" workbookViewId="0">
      <selection activeCell="E29" sqref="E29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127</v>
      </c>
      <c r="B2" s="4" t="s">
        <v>164</v>
      </c>
      <c r="F2" s="28"/>
      <c r="G2" s="5" t="s">
        <v>24</v>
      </c>
      <c r="I2" s="5" t="str">
        <f>+$B$2</f>
        <v xml:space="preserve">BAQ-18414 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46118</v>
      </c>
      <c r="B5" s="9">
        <v>34409000</v>
      </c>
      <c r="C5" s="9"/>
      <c r="D5" s="9" cm="1">
        <f t="array" ref="D5">+IF(C5=$K$7,0,_xlfn.IFS(C5=$K$5,$L$5,C5=$K$6,$L$6,C5=$K$8,$L$8,C5=$K$9,$L$9,C5=$K$10,$L$10))</f>
        <v>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34409000</v>
      </c>
      <c r="C20" s="6" t="s">
        <v>27</v>
      </c>
      <c r="D20" s="2">
        <f>+IF($A$47="SALDO A FAVOR",$B$20*0.004,($B$20+ABS($B$47))*0.004)</f>
        <v>142465.5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50</v>
      </c>
      <c r="B23" s="13"/>
      <c r="C23" s="14">
        <v>1100000</v>
      </c>
      <c r="D23" s="2">
        <f>+$B$20-C23</f>
        <v>33309000</v>
      </c>
      <c r="E23" s="2" t="s">
        <v>34</v>
      </c>
      <c r="F23" s="9" cm="1">
        <f t="array" ref="F23">+IF(E23=$K$11,0,_xlfn.IFS(E23=$K$12,$L$12,E23=$K$13,$L$13,E23=$K$14,$L$14))</f>
        <v>3900</v>
      </c>
    </row>
    <row r="24" spans="1:8" x14ac:dyDescent="0.3">
      <c r="A24" s="12" t="s">
        <v>77</v>
      </c>
      <c r="B24" s="13" t="s">
        <v>134</v>
      </c>
      <c r="C24" s="14">
        <v>1095147</v>
      </c>
      <c r="D24" s="2">
        <f>+D23-C24</f>
        <v>32213853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75</v>
      </c>
      <c r="B25" s="13" t="s">
        <v>135</v>
      </c>
      <c r="C25" s="14">
        <v>5299016</v>
      </c>
      <c r="D25" s="2">
        <f t="shared" ref="D25:D40" si="0">+D24-C25</f>
        <v>26914837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54</v>
      </c>
      <c r="B26" s="13" t="s">
        <v>136</v>
      </c>
      <c r="C26" s="14">
        <v>17176000</v>
      </c>
      <c r="D26" s="2">
        <f t="shared" si="0"/>
        <v>9738837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54</v>
      </c>
      <c r="B27" s="13" t="s">
        <v>137</v>
      </c>
      <c r="C27" s="14">
        <v>1101000</v>
      </c>
      <c r="D27" s="2">
        <f t="shared" si="0"/>
        <v>8637837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132</v>
      </c>
      <c r="B28" s="13"/>
      <c r="C28" s="14">
        <v>1500000</v>
      </c>
      <c r="D28" s="2">
        <f t="shared" si="0"/>
        <v>7137837</v>
      </c>
      <c r="E28" s="2" t="s">
        <v>34</v>
      </c>
      <c r="F28" s="9" cm="1">
        <f t="array" ref="F28">+IF(E28=$K$11,0,_xlfn.IFS(E28=$K$12,$L$12,E28=$K$13,$L$13,E28=$K$14,$L$14))</f>
        <v>3900</v>
      </c>
    </row>
    <row r="29" spans="1:8" x14ac:dyDescent="0.3">
      <c r="A29" s="12" t="s">
        <v>65</v>
      </c>
      <c r="B29" s="13" t="s">
        <v>138</v>
      </c>
      <c r="C29" s="14">
        <v>6230651</v>
      </c>
      <c r="D29" s="2">
        <f t="shared" si="0"/>
        <v>907186</v>
      </c>
      <c r="E29" s="2" t="s">
        <v>10</v>
      </c>
      <c r="F29" s="9" cm="1">
        <f t="array" ref="F29">+IF(E29=$K$11,0,_xlfn.IFS(E29=$K$12,$L$12,E29=$K$13,$L$13,E29=$K$14,$L$14))</f>
        <v>0</v>
      </c>
    </row>
    <row r="30" spans="1:8" x14ac:dyDescent="0.3">
      <c r="A30" s="12" t="s">
        <v>139</v>
      </c>
      <c r="B30" s="13" t="s">
        <v>140</v>
      </c>
      <c r="C30" s="14">
        <v>621331</v>
      </c>
      <c r="D30" s="2">
        <f t="shared" si="0"/>
        <v>285855</v>
      </c>
      <c r="E30" s="2" t="s">
        <v>34</v>
      </c>
      <c r="F30" s="9" cm="1">
        <f t="array" ref="F30">+IF(E30=$K$11,0,_xlfn.IFS(E30=$K$12,$L$12,E30=$K$13,$L$13,E30=$K$14,$L$14))</f>
        <v>3900</v>
      </c>
    </row>
    <row r="31" spans="1:8" x14ac:dyDescent="0.3">
      <c r="A31" s="12" t="s">
        <v>84</v>
      </c>
      <c r="B31" s="13"/>
      <c r="C31" s="14">
        <v>1200000</v>
      </c>
      <c r="D31" s="2">
        <f t="shared" si="0"/>
        <v>-914145</v>
      </c>
      <c r="E31" s="2" t="s">
        <v>34</v>
      </c>
      <c r="F31" s="9" cm="1">
        <f t="array" ref="F31">+IF(E31=$K$11,0,_xlfn.IFS(E31=$K$12,$L$12,E31=$K$13,$L$13,E31=$K$14,$L$14))</f>
        <v>3900</v>
      </c>
    </row>
    <row r="32" spans="1:8" x14ac:dyDescent="0.3">
      <c r="A32" s="12"/>
      <c r="B32" s="13"/>
      <c r="C32" s="14"/>
      <c r="D32" s="2">
        <f t="shared" si="0"/>
        <v>-914145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-914145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-914145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-914145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-914145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-914145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 xml:space="preserve">BAQ-18414 </v>
      </c>
      <c r="C38" s="16">
        <v>150000</v>
      </c>
      <c r="D38" s="2">
        <f t="shared" si="0"/>
        <v>-1064145</v>
      </c>
      <c r="E38" s="6" t="s">
        <v>12</v>
      </c>
      <c r="F38" s="9">
        <f>+SUM(F23:F37)+$D$18</f>
        <v>15600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-1140145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142465.5</v>
      </c>
      <c r="D40" s="2">
        <f t="shared" si="0"/>
        <v>-1282610.5</v>
      </c>
      <c r="F40" s="9"/>
    </row>
    <row r="41" spans="1:6" x14ac:dyDescent="0.3">
      <c r="A41" s="20" t="s">
        <v>20</v>
      </c>
      <c r="B41" s="21"/>
      <c r="C41" s="22">
        <f>+$F$38</f>
        <v>15600</v>
      </c>
      <c r="D41" s="2">
        <f>+D40-C41</f>
        <v>-1298210.5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 xml:space="preserve">BAQ-18414 </v>
      </c>
    </row>
    <row r="45" spans="1:6" x14ac:dyDescent="0.3">
      <c r="A45" s="25" t="s">
        <v>21</v>
      </c>
      <c r="B45" s="26">
        <v>46134</v>
      </c>
    </row>
    <row r="46" spans="1:6" x14ac:dyDescent="0.3">
      <c r="A46" s="25" t="s">
        <v>12</v>
      </c>
      <c r="B46" s="27">
        <v>35616375</v>
      </c>
    </row>
    <row r="47" spans="1:6" x14ac:dyDescent="0.3">
      <c r="A47" s="47" t="str">
        <f>+IF($B$47&gt;0,"SALDO A FAVOR","SALDO A CARGO")</f>
        <v>SALDO A CARGO</v>
      </c>
      <c r="B47" s="48">
        <f>+$B$20-$B$46</f>
        <v>-1207375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RECAUDO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-1298210.5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RECAUDO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-1298210.5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DO.CTG26-0099</v>
      </c>
      <c r="B58" s="39" t="str">
        <f>+$B$2</f>
        <v xml:space="preserve">BAQ-18414 </v>
      </c>
      <c r="C58" s="56">
        <f>+$B$20</f>
        <v>34409000</v>
      </c>
      <c r="D58" s="57">
        <f>+$B$45</f>
        <v>46134</v>
      </c>
      <c r="E58" s="56">
        <f>+$B$46</f>
        <v>35616375</v>
      </c>
      <c r="F58" s="56">
        <f>+$B$47</f>
        <v>-1207375</v>
      </c>
      <c r="G58" s="39" t="str">
        <f>+IF(F58&gt;0,"SALDO A FAVOR","SALDO A CARGO")</f>
        <v>SALDO A CARGO</v>
      </c>
      <c r="H58" s="58" t="str">
        <f>+$B$48</f>
        <v>X</v>
      </c>
      <c r="I58" s="55">
        <f>+$B$55</f>
        <v>-1298210.5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361" priority="21">
      <formula>$E$23="PSE"</formula>
    </cfRule>
  </conditionalFormatting>
  <conditionalFormatting sqref="A24:C24">
    <cfRule type="expression" dxfId="360" priority="20">
      <formula>$E$24="PSE"</formula>
    </cfRule>
  </conditionalFormatting>
  <conditionalFormatting sqref="A25:C25">
    <cfRule type="expression" dxfId="359" priority="19">
      <formula>$E$25="PSE"</formula>
    </cfRule>
  </conditionalFormatting>
  <conditionalFormatting sqref="A26:C26">
    <cfRule type="expression" dxfId="358" priority="18">
      <formula>$E$26="PSE"</formula>
    </cfRule>
  </conditionalFormatting>
  <conditionalFormatting sqref="A27:C27">
    <cfRule type="expression" dxfId="357" priority="17">
      <formula>$E$27="PSE"</formula>
    </cfRule>
  </conditionalFormatting>
  <conditionalFormatting sqref="A28:C28">
    <cfRule type="expression" dxfId="356" priority="16">
      <formula>$E$28="PSE"</formula>
    </cfRule>
  </conditionalFormatting>
  <conditionalFormatting sqref="A29:C29">
    <cfRule type="expression" dxfId="355" priority="15">
      <formula>$E$29="PSE"</formula>
    </cfRule>
  </conditionalFormatting>
  <conditionalFormatting sqref="A30:C30">
    <cfRule type="expression" dxfId="354" priority="14">
      <formula>$E$30="PSE"</formula>
    </cfRule>
  </conditionalFormatting>
  <conditionalFormatting sqref="A31:C31">
    <cfRule type="expression" dxfId="353" priority="13">
      <formula>$E$31="PSE"</formula>
    </cfRule>
  </conditionalFormatting>
  <conditionalFormatting sqref="A32:C32">
    <cfRule type="expression" dxfId="352" priority="12">
      <formula>$E$32="PSE"</formula>
    </cfRule>
  </conditionalFormatting>
  <conditionalFormatting sqref="A33:C33">
    <cfRule type="expression" dxfId="351" priority="11">
      <formula>$E$33="PSE"</formula>
    </cfRule>
  </conditionalFormatting>
  <conditionalFormatting sqref="A34:C34">
    <cfRule type="expression" dxfId="350" priority="10">
      <formula>$E$34="PSE"</formula>
    </cfRule>
  </conditionalFormatting>
  <conditionalFormatting sqref="A35:C35">
    <cfRule type="expression" dxfId="349" priority="9">
      <formula>$E$35="PSE"</formula>
    </cfRule>
  </conditionalFormatting>
  <conditionalFormatting sqref="A36:C36">
    <cfRule type="expression" dxfId="348" priority="8">
      <formula>$E$36="PSE"</formula>
    </cfRule>
  </conditionalFormatting>
  <conditionalFormatting sqref="A37:C37">
    <cfRule type="expression" dxfId="347" priority="7">
      <formula>$E$37="PSE"</formula>
    </cfRule>
  </conditionalFormatting>
  <conditionalFormatting sqref="B51">
    <cfRule type="cellIs" dxfId="346" priority="22" operator="lessThan">
      <formula>0</formula>
    </cfRule>
    <cfRule type="cellIs" dxfId="345" priority="23" operator="greaterThan">
      <formula>0</formula>
    </cfRule>
  </conditionalFormatting>
  <conditionalFormatting sqref="B55">
    <cfRule type="cellIs" dxfId="344" priority="5" operator="greaterThan">
      <formula>0</formula>
    </cfRule>
    <cfRule type="cellIs" dxfId="343" priority="6" operator="lessThan">
      <formula>0</formula>
    </cfRule>
  </conditionalFormatting>
  <conditionalFormatting sqref="D23:D41 B47">
    <cfRule type="cellIs" dxfId="342" priority="24" operator="lessThan">
      <formula>0</formula>
    </cfRule>
    <cfRule type="cellIs" dxfId="341" priority="25" operator="greaterThan">
      <formula>0</formula>
    </cfRule>
  </conditionalFormatting>
  <conditionalFormatting sqref="F58">
    <cfRule type="cellIs" dxfId="340" priority="3" operator="lessThan">
      <formula>0</formula>
    </cfRule>
    <cfRule type="cellIs" dxfId="339" priority="4" operator="greaterThan">
      <formula>0</formula>
    </cfRule>
  </conditionalFormatting>
  <conditionalFormatting sqref="I58">
    <cfRule type="cellIs" dxfId="338" priority="1" operator="lessThan">
      <formula>0</formula>
    </cfRule>
    <cfRule type="cellIs" dxfId="337" priority="2" operator="greaterThan">
      <formula>0</formula>
    </cfRule>
  </conditionalFormatting>
  <dataValidations count="4">
    <dataValidation type="list" allowBlank="1" showInputMessage="1" showErrorMessage="1" sqref="C5:C17" xr:uid="{4FD4564B-0C0A-4C56-A96A-2D80AB883B44}">
      <formula1>$K$5:$K$10</formula1>
    </dataValidation>
    <dataValidation type="list" showInputMessage="1" showErrorMessage="1" sqref="E23:E37 E39:E41" xr:uid="{92B0137A-4BCE-4906-98F4-C90A517FC0D3}">
      <formula1>$K$12:$K$14</formula1>
    </dataValidation>
    <dataValidation type="list" allowBlank="1" showInputMessage="1" showErrorMessage="1" sqref="B53" xr:uid="{E4E05475-B290-44B5-A1BF-6D57BB5405AA}">
      <formula1>$K$12:$K$14</formula1>
    </dataValidation>
    <dataValidation type="list" showInputMessage="1" showErrorMessage="1" sqref="B49" xr:uid="{FDD042DA-AB26-42ED-B676-DFB58BE59104}">
      <formula1>$K$5:$K$14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EEFC0-8E28-489D-81A8-C1B2E3537AA3}">
  <dimension ref="A1:O58"/>
  <sheetViews>
    <sheetView workbookViewId="0">
      <selection activeCell="E47" sqref="E47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148</v>
      </c>
      <c r="B2" s="4" t="s">
        <v>179</v>
      </c>
      <c r="F2" s="28"/>
      <c r="G2" s="5" t="s">
        <v>24</v>
      </c>
      <c r="I2" s="5" t="str">
        <f>+$B$2</f>
        <v>BAQ-18425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46126</v>
      </c>
      <c r="B5" s="9">
        <v>30789000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30789000</v>
      </c>
      <c r="C20" s="6" t="s">
        <v>27</v>
      </c>
      <c r="D20" s="2">
        <f>+IF($A$47="SALDO A FAVOR",$B$20*0.004,($B$20+ABS($B$47))*0.004)</f>
        <v>124827.984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50</v>
      </c>
      <c r="B23" s="13"/>
      <c r="C23" s="14">
        <v>850000</v>
      </c>
      <c r="D23" s="2">
        <f>+$B$20-C23</f>
        <v>29939000</v>
      </c>
      <c r="E23" s="2" t="s">
        <v>34</v>
      </c>
      <c r="F23" s="9" cm="1">
        <f t="array" ref="F23">+IF(E23=$K$11,0,_xlfn.IFS(E23=$K$12,$L$12,E23=$K$13,$L$13,E23=$K$14,$L$14))</f>
        <v>3900</v>
      </c>
    </row>
    <row r="24" spans="1:8" x14ac:dyDescent="0.3">
      <c r="A24" s="12" t="s">
        <v>97</v>
      </c>
      <c r="B24" s="13" t="s">
        <v>159</v>
      </c>
      <c r="C24" s="14">
        <v>138916</v>
      </c>
      <c r="D24" s="2">
        <f>+D23-C24</f>
        <v>29800084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62</v>
      </c>
      <c r="B25" s="13" t="s">
        <v>159</v>
      </c>
      <c r="C25" s="14">
        <v>1459829</v>
      </c>
      <c r="D25" s="2">
        <f t="shared" ref="D25:D40" si="0">+D24-C25</f>
        <v>28340255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54</v>
      </c>
      <c r="B26" s="13" t="s">
        <v>160</v>
      </c>
      <c r="C26" s="14">
        <v>18231000</v>
      </c>
      <c r="D26" s="2">
        <f t="shared" si="0"/>
        <v>10109255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84</v>
      </c>
      <c r="B27" s="13"/>
      <c r="C27" s="14">
        <v>1200000</v>
      </c>
      <c r="D27" s="2">
        <f t="shared" si="0"/>
        <v>8909255</v>
      </c>
      <c r="E27" s="2" t="s">
        <v>34</v>
      </c>
      <c r="F27" s="9" cm="1">
        <f t="array" ref="F27">+IF(E27=$K$11,0,_xlfn.IFS(E27=$K$12,$L$12,E27=$K$13,$L$13,E27=$K$14,$L$14))</f>
        <v>3900</v>
      </c>
    </row>
    <row r="28" spans="1:8" x14ac:dyDescent="0.3">
      <c r="A28" s="12" t="s">
        <v>65</v>
      </c>
      <c r="B28" s="13" t="s">
        <v>161</v>
      </c>
      <c r="C28" s="14">
        <v>4549734</v>
      </c>
      <c r="D28" s="2">
        <f t="shared" si="0"/>
        <v>4359521</v>
      </c>
      <c r="E28" s="2" t="s">
        <v>10</v>
      </c>
      <c r="F28" s="9" cm="1">
        <f t="array" ref="F28">+IF(E28=$K$11,0,_xlfn.IFS(E28=$K$12,$L$12,E28=$K$13,$L$13,E28=$K$14,$L$14))</f>
        <v>0</v>
      </c>
    </row>
    <row r="29" spans="1:8" x14ac:dyDescent="0.3">
      <c r="A29" s="12" t="s">
        <v>65</v>
      </c>
      <c r="B29" s="13" t="s">
        <v>162</v>
      </c>
      <c r="C29" s="14">
        <v>3532220</v>
      </c>
      <c r="D29" s="2">
        <f t="shared" si="0"/>
        <v>827301</v>
      </c>
      <c r="E29" s="2" t="s">
        <v>10</v>
      </c>
      <c r="F29" s="9" cm="1">
        <f t="array" ref="F29">+IF(E29=$K$11,0,_xlfn.IFS(E29=$K$12,$L$12,E29=$K$13,$L$13,E29=$K$14,$L$14))</f>
        <v>0</v>
      </c>
    </row>
    <row r="30" spans="1:8" x14ac:dyDescent="0.3">
      <c r="A30" s="12"/>
      <c r="B30" s="13"/>
      <c r="C30" s="14"/>
      <c r="D30" s="2">
        <f t="shared" si="0"/>
        <v>827301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827301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827301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827301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827301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827301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827301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827301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BAQ-18425</v>
      </c>
      <c r="C38" s="16">
        <v>150000</v>
      </c>
      <c r="D38" s="2">
        <f t="shared" si="0"/>
        <v>677301</v>
      </c>
      <c r="E38" s="6" t="s">
        <v>12</v>
      </c>
      <c r="F38" s="9">
        <f>+SUM(F23:F37)+$D$18</f>
        <v>9750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601301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124827.984</v>
      </c>
      <c r="D40" s="2">
        <f t="shared" si="0"/>
        <v>476473.016</v>
      </c>
      <c r="F40" s="9"/>
    </row>
    <row r="41" spans="1:6" x14ac:dyDescent="0.3">
      <c r="A41" s="20" t="s">
        <v>20</v>
      </c>
      <c r="B41" s="21"/>
      <c r="C41" s="22">
        <f>+$F$38</f>
        <v>9750</v>
      </c>
      <c r="D41" s="2">
        <f>+D40-C41</f>
        <v>466723.016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BAQ-18425</v>
      </c>
    </row>
    <row r="45" spans="1:6" x14ac:dyDescent="0.3">
      <c r="A45" s="25" t="s">
        <v>21</v>
      </c>
      <c r="B45" s="26">
        <v>46140</v>
      </c>
    </row>
    <row r="46" spans="1:6" x14ac:dyDescent="0.3">
      <c r="A46" s="25" t="s">
        <v>12</v>
      </c>
      <c r="B46" s="27">
        <v>31206996</v>
      </c>
    </row>
    <row r="47" spans="1:6" x14ac:dyDescent="0.3">
      <c r="A47" s="47" t="str">
        <f>+IF($B$47&gt;0,"SALDO A FAVOR","SALDO A CARGO")</f>
        <v>SALDO A CARGO</v>
      </c>
      <c r="B47" s="48">
        <f>+$B$20-$B$46</f>
        <v>-417996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RECAUDO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466723.016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RECAUDO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466723.016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DO.CTG26-0105</v>
      </c>
      <c r="B58" s="39" t="str">
        <f>+$B$2</f>
        <v>BAQ-18425</v>
      </c>
      <c r="C58" s="56">
        <f>+$B$20</f>
        <v>30789000</v>
      </c>
      <c r="D58" s="57">
        <f>+$B$45</f>
        <v>46140</v>
      </c>
      <c r="E58" s="56">
        <f>+$B$46</f>
        <v>31206996</v>
      </c>
      <c r="F58" s="56">
        <f>+$B$47</f>
        <v>-417996</v>
      </c>
      <c r="G58" s="39" t="str">
        <f>+IF(F58&gt;0,"SALDO A FAVOR","SALDO A CARGO")</f>
        <v>SALDO A CARGO</v>
      </c>
      <c r="H58" s="58" t="str">
        <f>+$B$48</f>
        <v>X</v>
      </c>
      <c r="I58" s="55">
        <f>+$B$55</f>
        <v>466723.016</v>
      </c>
      <c r="J58" s="39" t="str">
        <f>+IF($B$55&gt;0,"SALDO A FAVOR","SALDO A CARGO")</f>
        <v>SALDO A FAVOR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336" priority="21">
      <formula>$E$23="PSE"</formula>
    </cfRule>
  </conditionalFormatting>
  <conditionalFormatting sqref="A24:C24">
    <cfRule type="expression" dxfId="335" priority="20">
      <formula>$E$24="PSE"</formula>
    </cfRule>
  </conditionalFormatting>
  <conditionalFormatting sqref="A25:C25">
    <cfRule type="expression" dxfId="334" priority="19">
      <formula>$E$25="PSE"</formula>
    </cfRule>
  </conditionalFormatting>
  <conditionalFormatting sqref="A26:C26">
    <cfRule type="expression" dxfId="333" priority="18">
      <formula>$E$26="PSE"</formula>
    </cfRule>
  </conditionalFormatting>
  <conditionalFormatting sqref="A27:C27">
    <cfRule type="expression" dxfId="332" priority="17">
      <formula>$E$27="PSE"</formula>
    </cfRule>
  </conditionalFormatting>
  <conditionalFormatting sqref="A28:C28">
    <cfRule type="expression" dxfId="331" priority="16">
      <formula>$E$28="PSE"</formula>
    </cfRule>
  </conditionalFormatting>
  <conditionalFormatting sqref="A29:C29">
    <cfRule type="expression" dxfId="330" priority="15">
      <formula>$E$29="PSE"</formula>
    </cfRule>
  </conditionalFormatting>
  <conditionalFormatting sqref="A30:C30">
    <cfRule type="expression" dxfId="329" priority="14">
      <formula>$E$30="PSE"</formula>
    </cfRule>
  </conditionalFormatting>
  <conditionalFormatting sqref="A31:C31">
    <cfRule type="expression" dxfId="328" priority="13">
      <formula>$E$31="PSE"</formula>
    </cfRule>
  </conditionalFormatting>
  <conditionalFormatting sqref="A32:C32">
    <cfRule type="expression" dxfId="327" priority="12">
      <formula>$E$32="PSE"</formula>
    </cfRule>
  </conditionalFormatting>
  <conditionalFormatting sqref="A33:C33">
    <cfRule type="expression" dxfId="326" priority="11">
      <formula>$E$33="PSE"</formula>
    </cfRule>
  </conditionalFormatting>
  <conditionalFormatting sqref="A34:C34">
    <cfRule type="expression" dxfId="325" priority="10">
      <formula>$E$34="PSE"</formula>
    </cfRule>
  </conditionalFormatting>
  <conditionalFormatting sqref="A35:C35">
    <cfRule type="expression" dxfId="324" priority="9">
      <formula>$E$35="PSE"</formula>
    </cfRule>
  </conditionalFormatting>
  <conditionalFormatting sqref="A36:C36">
    <cfRule type="expression" dxfId="323" priority="8">
      <formula>$E$36="PSE"</formula>
    </cfRule>
  </conditionalFormatting>
  <conditionalFormatting sqref="A37:C37">
    <cfRule type="expression" dxfId="322" priority="7">
      <formula>$E$37="PSE"</formula>
    </cfRule>
  </conditionalFormatting>
  <conditionalFormatting sqref="B51">
    <cfRule type="cellIs" dxfId="321" priority="22" operator="lessThan">
      <formula>0</formula>
    </cfRule>
    <cfRule type="cellIs" dxfId="320" priority="23" operator="greaterThan">
      <formula>0</formula>
    </cfRule>
  </conditionalFormatting>
  <conditionalFormatting sqref="B55">
    <cfRule type="cellIs" dxfId="319" priority="5" operator="greaterThan">
      <formula>0</formula>
    </cfRule>
    <cfRule type="cellIs" dxfId="318" priority="6" operator="lessThan">
      <formula>0</formula>
    </cfRule>
  </conditionalFormatting>
  <conditionalFormatting sqref="D23:D41 B47">
    <cfRule type="cellIs" dxfId="317" priority="24" operator="lessThan">
      <formula>0</formula>
    </cfRule>
    <cfRule type="cellIs" dxfId="316" priority="25" operator="greaterThan">
      <formula>0</formula>
    </cfRule>
  </conditionalFormatting>
  <conditionalFormatting sqref="F58">
    <cfRule type="cellIs" dxfId="315" priority="3" operator="lessThan">
      <formula>0</formula>
    </cfRule>
    <cfRule type="cellIs" dxfId="314" priority="4" operator="greaterThan">
      <formula>0</formula>
    </cfRule>
  </conditionalFormatting>
  <conditionalFormatting sqref="I58">
    <cfRule type="cellIs" dxfId="313" priority="1" operator="lessThan">
      <formula>0</formula>
    </cfRule>
    <cfRule type="cellIs" dxfId="312" priority="2" operator="greaterThan">
      <formula>0</formula>
    </cfRule>
  </conditionalFormatting>
  <dataValidations count="4">
    <dataValidation type="list" allowBlank="1" showInputMessage="1" showErrorMessage="1" sqref="C5:C17" xr:uid="{814CF87A-108F-4C2B-A9F8-56929F841AF6}">
      <formula1>$K$5:$K$10</formula1>
    </dataValidation>
    <dataValidation type="list" showInputMessage="1" showErrorMessage="1" sqref="E23:E37 E39:E41" xr:uid="{DFF3FB67-9C36-4EA5-8B05-C124104B9EC5}">
      <formula1>$K$12:$K$14</formula1>
    </dataValidation>
    <dataValidation type="list" allowBlank="1" showInputMessage="1" showErrorMessage="1" sqref="B53" xr:uid="{4491D83A-BFA5-438B-B99C-DD37CDE4F205}">
      <formula1>$K$12:$K$14</formula1>
    </dataValidation>
    <dataValidation type="list" showInputMessage="1" showErrorMessage="1" sqref="B49" xr:uid="{0B88B878-B6C6-430B-97BA-913D2D76F85D}">
      <formula1>$K$5:$K$14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233FB-F801-469E-88D2-BE6EF87E323C}">
  <dimension ref="A1:O58"/>
  <sheetViews>
    <sheetView topLeftCell="A7" workbookViewId="0">
      <selection activeCell="C40" sqref="C40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147</v>
      </c>
      <c r="B2" s="4" t="s">
        <v>180</v>
      </c>
      <c r="F2" s="28"/>
      <c r="G2" s="5" t="s">
        <v>24</v>
      </c>
      <c r="I2" s="5" t="str">
        <f>+$B$2</f>
        <v>BAQ-18426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46126</v>
      </c>
      <c r="B5" s="9">
        <v>29586000</v>
      </c>
      <c r="C5" s="9"/>
      <c r="D5" s="9" cm="1">
        <f t="array" ref="D5">+IF(C5=$K$7,0,_xlfn.IFS(C5=$K$5,$L$5,C5=$K$6,$L$6,C5=$K$8,$L$8,C5=$K$9,$L$9,C5=$K$10,$L$10))</f>
        <v>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29586000</v>
      </c>
      <c r="C20" s="6" t="s">
        <v>27</v>
      </c>
      <c r="D20" s="2">
        <f>+IF($A$47="SALDO A FAVOR",$B$20*0.004,($B$20+ABS($B$47))*0.004)</f>
        <v>118344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50</v>
      </c>
      <c r="B23" s="13"/>
      <c r="C23" s="14">
        <v>850000</v>
      </c>
      <c r="D23" s="2">
        <f>+$B$20-C23</f>
        <v>28736000</v>
      </c>
      <c r="E23" s="2" t="s">
        <v>34</v>
      </c>
      <c r="F23" s="9" cm="1">
        <f t="array" ref="F23">+IF(E23=$K$11,0,_xlfn.IFS(E23=$K$12,$L$12,E23=$K$13,$L$13,E23=$K$14,$L$14))</f>
        <v>3900</v>
      </c>
    </row>
    <row r="24" spans="1:8" x14ac:dyDescent="0.3">
      <c r="A24" s="12" t="s">
        <v>62</v>
      </c>
      <c r="B24" s="13" t="s">
        <v>153</v>
      </c>
      <c r="C24" s="14">
        <v>1459829</v>
      </c>
      <c r="D24" s="2">
        <f>+D23-C24</f>
        <v>27276171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97</v>
      </c>
      <c r="B25" s="13" t="s">
        <v>153</v>
      </c>
      <c r="C25" s="14">
        <v>138916</v>
      </c>
      <c r="D25" s="2">
        <f t="shared" ref="D25:D40" si="0">+D24-C25</f>
        <v>27137255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54</v>
      </c>
      <c r="B26" s="13" t="s">
        <v>154</v>
      </c>
      <c r="C26" s="14">
        <v>17307000</v>
      </c>
      <c r="D26" s="2">
        <f t="shared" si="0"/>
        <v>9830255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65</v>
      </c>
      <c r="B27" s="13" t="s">
        <v>155</v>
      </c>
      <c r="C27" s="14">
        <v>5604139</v>
      </c>
      <c r="D27" s="2">
        <f t="shared" si="0"/>
        <v>4226116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132</v>
      </c>
      <c r="B28" s="13"/>
      <c r="C28" s="14">
        <v>700000</v>
      </c>
      <c r="D28" s="2">
        <f t="shared" si="0"/>
        <v>3526116</v>
      </c>
      <c r="E28" s="2" t="s">
        <v>34</v>
      </c>
      <c r="F28" s="9" cm="1">
        <f t="array" ref="F28">+IF(E28=$K$11,0,_xlfn.IFS(E28=$K$12,$L$12,E28=$K$13,$L$13,E28=$K$14,$L$14))</f>
        <v>3900</v>
      </c>
    </row>
    <row r="29" spans="1:8" x14ac:dyDescent="0.3">
      <c r="A29" s="12" t="s">
        <v>84</v>
      </c>
      <c r="B29" s="13"/>
      <c r="C29" s="14">
        <v>1200000</v>
      </c>
      <c r="D29" s="2">
        <f t="shared" si="0"/>
        <v>2326116</v>
      </c>
      <c r="E29" s="2" t="s">
        <v>34</v>
      </c>
      <c r="F29" s="9" cm="1">
        <f t="array" ref="F29">+IF(E29=$K$11,0,_xlfn.IFS(E29=$K$12,$L$12,E29=$K$13,$L$13,E29=$K$14,$L$14))</f>
        <v>3900</v>
      </c>
    </row>
    <row r="30" spans="1:8" x14ac:dyDescent="0.3">
      <c r="A30" s="12"/>
      <c r="B30" s="13"/>
      <c r="C30" s="14"/>
      <c r="D30" s="2">
        <f t="shared" si="0"/>
        <v>2326116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2326116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2326116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2326116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2326116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2326116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2326116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2326116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BAQ-18426</v>
      </c>
      <c r="C38" s="16">
        <v>150000</v>
      </c>
      <c r="D38" s="2">
        <f t="shared" si="0"/>
        <v>2176116</v>
      </c>
      <c r="E38" s="6" t="s">
        <v>12</v>
      </c>
      <c r="F38" s="9">
        <f>+SUM(F23:F37)+$D$18</f>
        <v>11700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2100116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118344</v>
      </c>
      <c r="D40" s="2">
        <f t="shared" si="0"/>
        <v>1981772</v>
      </c>
      <c r="F40" s="9"/>
    </row>
    <row r="41" spans="1:6" x14ac:dyDescent="0.3">
      <c r="A41" s="20" t="s">
        <v>20</v>
      </c>
      <c r="B41" s="21"/>
      <c r="C41" s="22">
        <f>+$F$38</f>
        <v>11700</v>
      </c>
      <c r="D41" s="2">
        <f>+D40-C41</f>
        <v>1970072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BAQ-18426</v>
      </c>
    </row>
    <row r="45" spans="1:6" x14ac:dyDescent="0.3">
      <c r="A45" s="25" t="s">
        <v>21</v>
      </c>
      <c r="B45" s="26">
        <v>46140</v>
      </c>
    </row>
    <row r="46" spans="1:6" x14ac:dyDescent="0.3">
      <c r="A46" s="25" t="s">
        <v>12</v>
      </c>
      <c r="B46" s="27">
        <v>27576859</v>
      </c>
    </row>
    <row r="47" spans="1:6" x14ac:dyDescent="0.3">
      <c r="A47" s="47" t="str">
        <f>+IF($B$47&gt;0,"SALDO A FAVOR","SALDO A CARGO")</f>
        <v>SALDO A FAVOR</v>
      </c>
      <c r="B47" s="48">
        <f>+$B$20-$B$46</f>
        <v>2009141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-39069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-39069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DO.CTG26-0106</v>
      </c>
      <c r="B58" s="39" t="str">
        <f>+$B$2</f>
        <v>BAQ-18426</v>
      </c>
      <c r="C58" s="56">
        <f>+$B$20</f>
        <v>29586000</v>
      </c>
      <c r="D58" s="57">
        <f>+$B$45</f>
        <v>46140</v>
      </c>
      <c r="E58" s="56">
        <f>+$B$46</f>
        <v>27576859</v>
      </c>
      <c r="F58" s="56">
        <f>+$B$47</f>
        <v>2009141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-39069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311" priority="21">
      <formula>$E$23="PSE"</formula>
    </cfRule>
  </conditionalFormatting>
  <conditionalFormatting sqref="A24:C24">
    <cfRule type="expression" dxfId="310" priority="20">
      <formula>$E$24="PSE"</formula>
    </cfRule>
  </conditionalFormatting>
  <conditionalFormatting sqref="A25:C25">
    <cfRule type="expression" dxfId="309" priority="19">
      <formula>$E$25="PSE"</formula>
    </cfRule>
  </conditionalFormatting>
  <conditionalFormatting sqref="A26:C26">
    <cfRule type="expression" dxfId="308" priority="18">
      <formula>$E$26="PSE"</formula>
    </cfRule>
  </conditionalFormatting>
  <conditionalFormatting sqref="A27:C27">
    <cfRule type="expression" dxfId="307" priority="17">
      <formula>$E$27="PSE"</formula>
    </cfRule>
  </conditionalFormatting>
  <conditionalFormatting sqref="A28:C28">
    <cfRule type="expression" dxfId="306" priority="16">
      <formula>$E$28="PSE"</formula>
    </cfRule>
  </conditionalFormatting>
  <conditionalFormatting sqref="A29:C29">
    <cfRule type="expression" dxfId="305" priority="15">
      <formula>$E$29="PSE"</formula>
    </cfRule>
  </conditionalFormatting>
  <conditionalFormatting sqref="A30:C30">
    <cfRule type="expression" dxfId="304" priority="14">
      <formula>$E$30="PSE"</formula>
    </cfRule>
  </conditionalFormatting>
  <conditionalFormatting sqref="A31:C31">
    <cfRule type="expression" dxfId="303" priority="13">
      <formula>$E$31="PSE"</formula>
    </cfRule>
  </conditionalFormatting>
  <conditionalFormatting sqref="A32:C32">
    <cfRule type="expression" dxfId="302" priority="12">
      <formula>$E$32="PSE"</formula>
    </cfRule>
  </conditionalFormatting>
  <conditionalFormatting sqref="A33:C33">
    <cfRule type="expression" dxfId="301" priority="11">
      <formula>$E$33="PSE"</formula>
    </cfRule>
  </conditionalFormatting>
  <conditionalFormatting sqref="A34:C34">
    <cfRule type="expression" dxfId="300" priority="10">
      <formula>$E$34="PSE"</formula>
    </cfRule>
  </conditionalFormatting>
  <conditionalFormatting sqref="A35:C35">
    <cfRule type="expression" dxfId="299" priority="9">
      <formula>$E$35="PSE"</formula>
    </cfRule>
  </conditionalFormatting>
  <conditionalFormatting sqref="A36:C36">
    <cfRule type="expression" dxfId="298" priority="8">
      <formula>$E$36="PSE"</formula>
    </cfRule>
  </conditionalFormatting>
  <conditionalFormatting sqref="A37:C37">
    <cfRule type="expression" dxfId="297" priority="7">
      <formula>$E$37="PSE"</formula>
    </cfRule>
  </conditionalFormatting>
  <conditionalFormatting sqref="B51">
    <cfRule type="cellIs" dxfId="296" priority="22" operator="lessThan">
      <formula>0</formula>
    </cfRule>
    <cfRule type="cellIs" dxfId="295" priority="23" operator="greaterThan">
      <formula>0</formula>
    </cfRule>
  </conditionalFormatting>
  <conditionalFormatting sqref="B55">
    <cfRule type="cellIs" dxfId="294" priority="5" operator="greaterThan">
      <formula>0</formula>
    </cfRule>
    <cfRule type="cellIs" dxfId="293" priority="6" operator="lessThan">
      <formula>0</formula>
    </cfRule>
  </conditionalFormatting>
  <conditionalFormatting sqref="D23:D41 B47">
    <cfRule type="cellIs" dxfId="292" priority="24" operator="lessThan">
      <formula>0</formula>
    </cfRule>
    <cfRule type="cellIs" dxfId="291" priority="25" operator="greaterThan">
      <formula>0</formula>
    </cfRule>
  </conditionalFormatting>
  <conditionalFormatting sqref="F58">
    <cfRule type="cellIs" dxfId="290" priority="3" operator="lessThan">
      <formula>0</formula>
    </cfRule>
    <cfRule type="cellIs" dxfId="289" priority="4" operator="greaterThan">
      <formula>0</formula>
    </cfRule>
  </conditionalFormatting>
  <conditionalFormatting sqref="I58">
    <cfRule type="cellIs" dxfId="288" priority="1" operator="lessThan">
      <formula>0</formula>
    </cfRule>
    <cfRule type="cellIs" dxfId="287" priority="2" operator="greaterThan">
      <formula>0</formula>
    </cfRule>
  </conditionalFormatting>
  <dataValidations count="4">
    <dataValidation type="list" showInputMessage="1" showErrorMessage="1" sqref="B49" xr:uid="{5A367989-B154-49BE-BC1F-DD7A4D33870A}">
      <formula1>$K$5:$K$14</formula1>
    </dataValidation>
    <dataValidation type="list" allowBlank="1" showInputMessage="1" showErrorMessage="1" sqref="B53" xr:uid="{786909E0-E629-4928-9706-E8D2C0244EDF}">
      <formula1>$K$12:$K$14</formula1>
    </dataValidation>
    <dataValidation type="list" showInputMessage="1" showErrorMessage="1" sqref="E23:E37 E39:E41" xr:uid="{631DA145-9B0F-4900-B9ED-86B08220D12D}">
      <formula1>$K$12:$K$14</formula1>
    </dataValidation>
    <dataValidation type="list" allowBlank="1" showInputMessage="1" showErrorMessage="1" sqref="C5:C17" xr:uid="{FD5F60A4-3601-4EDC-B4B0-BC27CEF40D0D}">
      <formula1>$K$5:$K$10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A7A36-2C60-4F69-974E-DC4F806A8FEC}">
  <dimension ref="A1:O58"/>
  <sheetViews>
    <sheetView workbookViewId="0">
      <selection activeCell="G17" sqref="G17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149</v>
      </c>
      <c r="B2" s="4" t="s">
        <v>181</v>
      </c>
      <c r="F2" s="28"/>
      <c r="G2" s="5" t="s">
        <v>24</v>
      </c>
      <c r="I2" s="5" t="str">
        <f>+$B$2</f>
        <v>BAQ-18435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46126</v>
      </c>
      <c r="B5" s="9">
        <v>28181000</v>
      </c>
      <c r="C5" s="9"/>
      <c r="D5" s="9" cm="1">
        <f t="array" ref="D5">+IF(C5=$K$7,0,_xlfn.IFS(C5=$K$5,$L$5,C5=$K$6,$L$6,C5=$K$8,$L$8,C5=$K$9,$L$9,C5=$K$10,$L$10))</f>
        <v>0</v>
      </c>
      <c r="E5" s="9"/>
      <c r="K5" s="30" t="s">
        <v>6</v>
      </c>
      <c r="L5" s="30">
        <v>1950</v>
      </c>
    </row>
    <row r="6" spans="1:15" x14ac:dyDescent="0.3">
      <c r="A6" s="8">
        <v>46135</v>
      </c>
      <c r="B6" s="9">
        <v>3982000</v>
      </c>
      <c r="C6" s="9" t="s">
        <v>6</v>
      </c>
      <c r="D6" s="9" cm="1">
        <f t="array" ref="D6">+IF(C6=$K$7,0,_xlfn.IFS(C6=$K$5,$L$5,C6=$K$6,$L$6,C6=$K$8,$L$8,C6=$K$9,$L$9,C6=$K$10,$L$10))</f>
        <v>1950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32163000</v>
      </c>
      <c r="C20" s="6" t="s">
        <v>27</v>
      </c>
      <c r="D20" s="2">
        <f>+IF($A$47="SALDO A FAVOR",$B$20*0.004,($B$20+ABS($B$47))*0.004)</f>
        <v>156862.52799999999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50</v>
      </c>
      <c r="B23" s="13"/>
      <c r="C23" s="14">
        <v>850000</v>
      </c>
      <c r="D23" s="2">
        <f>+$B$20-C23</f>
        <v>31313000</v>
      </c>
      <c r="E23" s="2" t="s">
        <v>34</v>
      </c>
      <c r="F23" s="9" cm="1">
        <f t="array" ref="F23">+IF(E23=$K$11,0,_xlfn.IFS(E23=$K$12,$L$12,E23=$K$13,$L$13,E23=$K$14,$L$14))</f>
        <v>3900</v>
      </c>
    </row>
    <row r="24" spans="1:8" x14ac:dyDescent="0.3">
      <c r="A24" s="12" t="s">
        <v>62</v>
      </c>
      <c r="B24" s="13" t="s">
        <v>156</v>
      </c>
      <c r="C24" s="14">
        <v>1459829</v>
      </c>
      <c r="D24" s="2">
        <f>+D23-C24</f>
        <v>29853171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97</v>
      </c>
      <c r="B25" s="13" t="s">
        <v>156</v>
      </c>
      <c r="C25" s="14">
        <v>138916</v>
      </c>
      <c r="D25" s="2">
        <f t="shared" ref="D25:D40" si="0">+D24-C25</f>
        <v>29714255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84</v>
      </c>
      <c r="B26" s="13"/>
      <c r="C26" s="14">
        <v>1200000</v>
      </c>
      <c r="D26" s="2">
        <f t="shared" si="0"/>
        <v>28514255</v>
      </c>
      <c r="E26" s="2" t="s">
        <v>34</v>
      </c>
      <c r="F26" s="9" cm="1">
        <f t="array" ref="F26">+IF(E26=$K$11,0,_xlfn.IFS(E26=$K$12,$L$12,E26=$K$13,$L$13,E26=$K$14,$L$14))</f>
        <v>3900</v>
      </c>
    </row>
    <row r="27" spans="1:8" x14ac:dyDescent="0.3">
      <c r="A27" s="12" t="s">
        <v>54</v>
      </c>
      <c r="B27" s="13" t="s">
        <v>157</v>
      </c>
      <c r="C27" s="14">
        <v>15893000</v>
      </c>
      <c r="D27" s="2">
        <f t="shared" si="0"/>
        <v>12621255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65</v>
      </c>
      <c r="B28" s="13" t="s">
        <v>158</v>
      </c>
      <c r="C28" s="14">
        <v>8763470</v>
      </c>
      <c r="D28" s="2">
        <f t="shared" si="0"/>
        <v>3857785</v>
      </c>
      <c r="E28" s="2" t="s">
        <v>10</v>
      </c>
      <c r="F28" s="9" cm="1">
        <f t="array" ref="F28">+IF(E28=$K$11,0,_xlfn.IFS(E28=$K$12,$L$12,E28=$K$13,$L$13,E28=$K$14,$L$14))</f>
        <v>0</v>
      </c>
    </row>
    <row r="29" spans="1:8" x14ac:dyDescent="0.3">
      <c r="A29" s="12" t="s">
        <v>175</v>
      </c>
      <c r="B29" s="13" t="s">
        <v>176</v>
      </c>
      <c r="C29" s="14">
        <v>4000000</v>
      </c>
      <c r="D29" s="2">
        <f t="shared" si="0"/>
        <v>-142215</v>
      </c>
      <c r="E29" s="2" t="s">
        <v>34</v>
      </c>
      <c r="F29" s="9" cm="1">
        <f t="array" ref="F29">+IF(E29=$K$11,0,_xlfn.IFS(E29=$K$12,$L$12,E29=$K$13,$L$13,E29=$K$14,$L$14))</f>
        <v>3900</v>
      </c>
    </row>
    <row r="30" spans="1:8" x14ac:dyDescent="0.3">
      <c r="A30" s="12" t="s">
        <v>65</v>
      </c>
      <c r="B30" s="13" t="s">
        <v>177</v>
      </c>
      <c r="C30" s="14">
        <v>1395578</v>
      </c>
      <c r="D30" s="2">
        <f t="shared" si="0"/>
        <v>-1537793</v>
      </c>
      <c r="E30" s="2" t="s">
        <v>10</v>
      </c>
      <c r="F30" s="9" cm="1">
        <f t="array" ref="F30">+IF(E30=$K$11,0,_xlfn.IFS(E30=$K$12,$L$12,E30=$K$13,$L$13,E30=$K$14,$L$14))</f>
        <v>0</v>
      </c>
    </row>
    <row r="31" spans="1:8" x14ac:dyDescent="0.3">
      <c r="A31" s="12" t="s">
        <v>101</v>
      </c>
      <c r="B31" s="13" t="s">
        <v>178</v>
      </c>
      <c r="C31" s="14">
        <v>4240217.5</v>
      </c>
      <c r="D31" s="2">
        <f t="shared" si="0"/>
        <v>-5778010.5</v>
      </c>
      <c r="E31" s="2" t="s">
        <v>10</v>
      </c>
      <c r="F31" s="9" cm="1">
        <f t="array" ref="F31">+IF(E31=$K$11,0,_xlfn.IFS(E31=$K$12,$L$12,E31=$K$13,$L$13,E31=$K$14,$L$14))</f>
        <v>0</v>
      </c>
    </row>
    <row r="32" spans="1:8" x14ac:dyDescent="0.3">
      <c r="A32" s="12" t="s">
        <v>101</v>
      </c>
      <c r="B32" s="13" t="s">
        <v>178</v>
      </c>
      <c r="C32" s="14">
        <v>872054.15</v>
      </c>
      <c r="D32" s="2">
        <f t="shared" si="0"/>
        <v>-6650064.6500000004</v>
      </c>
      <c r="E32" s="2" t="s">
        <v>10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-6650064.6500000004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-6650064.6500000004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-6650064.6500000004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-6650064.6500000004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-6650064.6500000004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BAQ-18435</v>
      </c>
      <c r="C38" s="16">
        <v>150000</v>
      </c>
      <c r="D38" s="2">
        <f t="shared" si="0"/>
        <v>-6800064.6500000004</v>
      </c>
      <c r="E38" s="6" t="s">
        <v>12</v>
      </c>
      <c r="F38" s="9">
        <f>+SUM(F23:F37)+$D$18</f>
        <v>13650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-6876064.6500000004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156862.52799999999</v>
      </c>
      <c r="D40" s="2">
        <f t="shared" si="0"/>
        <v>-7032927.1780000003</v>
      </c>
      <c r="F40" s="9"/>
    </row>
    <row r="41" spans="1:6" x14ac:dyDescent="0.3">
      <c r="A41" s="20" t="s">
        <v>20</v>
      </c>
      <c r="B41" s="21"/>
      <c r="C41" s="22">
        <f>+$F$38</f>
        <v>13650</v>
      </c>
      <c r="D41" s="2">
        <f>+D40-C41</f>
        <v>-7046577.1780000003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BAQ-18435</v>
      </c>
    </row>
    <row r="45" spans="1:6" x14ac:dyDescent="0.3">
      <c r="A45" s="25" t="s">
        <v>21</v>
      </c>
      <c r="B45" s="26">
        <v>46142</v>
      </c>
    </row>
    <row r="46" spans="1:6" x14ac:dyDescent="0.3">
      <c r="A46" s="25" t="s">
        <v>12</v>
      </c>
      <c r="B46" s="27">
        <v>39215632</v>
      </c>
    </row>
    <row r="47" spans="1:6" x14ac:dyDescent="0.3">
      <c r="A47" s="47" t="str">
        <f>+IF($B$47&gt;0,"SALDO A FAVOR","SALDO A CARGO")</f>
        <v>SALDO A CARGO</v>
      </c>
      <c r="B47" s="48">
        <f>+$B$20-$B$46</f>
        <v>-7052632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RECAUDO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-7046577.1780000003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RECAUDO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-7046577.1780000003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DO.CTG26-0111</v>
      </c>
      <c r="B58" s="39" t="str">
        <f>+$B$2</f>
        <v>BAQ-18435</v>
      </c>
      <c r="C58" s="56">
        <f>+$B$20</f>
        <v>32163000</v>
      </c>
      <c r="D58" s="57">
        <f>+$B$45</f>
        <v>46142</v>
      </c>
      <c r="E58" s="56">
        <f>+$B$46</f>
        <v>39215632</v>
      </c>
      <c r="F58" s="56">
        <f>+$B$47</f>
        <v>-7052632</v>
      </c>
      <c r="G58" s="39" t="str">
        <f>+IF(F58&gt;0,"SALDO A FAVOR","SALDO A CARGO")</f>
        <v>SALDO A CARGO</v>
      </c>
      <c r="H58" s="58" t="str">
        <f>+$B$48</f>
        <v>X</v>
      </c>
      <c r="I58" s="55">
        <f>+$B$55</f>
        <v>-7046577.1780000003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286" priority="21">
      <formula>$E$23="PSE"</formula>
    </cfRule>
  </conditionalFormatting>
  <conditionalFormatting sqref="A24:C24">
    <cfRule type="expression" dxfId="285" priority="20">
      <formula>$E$24="PSE"</formula>
    </cfRule>
  </conditionalFormatting>
  <conditionalFormatting sqref="A25:C25">
    <cfRule type="expression" dxfId="284" priority="19">
      <formula>$E$25="PSE"</formula>
    </cfRule>
  </conditionalFormatting>
  <conditionalFormatting sqref="A26:C26">
    <cfRule type="expression" dxfId="283" priority="18">
      <formula>$E$26="PSE"</formula>
    </cfRule>
  </conditionalFormatting>
  <conditionalFormatting sqref="A27:C27">
    <cfRule type="expression" dxfId="282" priority="17">
      <formula>$E$27="PSE"</formula>
    </cfRule>
  </conditionalFormatting>
  <conditionalFormatting sqref="A28:C28">
    <cfRule type="expression" dxfId="281" priority="16">
      <formula>$E$28="PSE"</formula>
    </cfRule>
  </conditionalFormatting>
  <conditionalFormatting sqref="A29:C29">
    <cfRule type="expression" dxfId="280" priority="15">
      <formula>$E$29="PSE"</formula>
    </cfRule>
  </conditionalFormatting>
  <conditionalFormatting sqref="A30:C30">
    <cfRule type="expression" dxfId="279" priority="14">
      <formula>$E$30="PSE"</formula>
    </cfRule>
  </conditionalFormatting>
  <conditionalFormatting sqref="A31:C31">
    <cfRule type="expression" dxfId="278" priority="13">
      <formula>$E$31="PSE"</formula>
    </cfRule>
  </conditionalFormatting>
  <conditionalFormatting sqref="A32:C32">
    <cfRule type="expression" dxfId="277" priority="12">
      <formula>$E$32="PSE"</formula>
    </cfRule>
  </conditionalFormatting>
  <conditionalFormatting sqref="A33:C33">
    <cfRule type="expression" dxfId="276" priority="11">
      <formula>$E$33="PSE"</formula>
    </cfRule>
  </conditionalFormatting>
  <conditionalFormatting sqref="A34:C34">
    <cfRule type="expression" dxfId="275" priority="10">
      <formula>$E$34="PSE"</formula>
    </cfRule>
  </conditionalFormatting>
  <conditionalFormatting sqref="A35:C35">
    <cfRule type="expression" dxfId="274" priority="9">
      <formula>$E$35="PSE"</formula>
    </cfRule>
  </conditionalFormatting>
  <conditionalFormatting sqref="A36:C36">
    <cfRule type="expression" dxfId="273" priority="8">
      <formula>$E$36="PSE"</formula>
    </cfRule>
  </conditionalFormatting>
  <conditionalFormatting sqref="A37:C37">
    <cfRule type="expression" dxfId="272" priority="7">
      <formula>$E$37="PSE"</formula>
    </cfRule>
  </conditionalFormatting>
  <conditionalFormatting sqref="B51">
    <cfRule type="cellIs" dxfId="271" priority="22" operator="lessThan">
      <formula>0</formula>
    </cfRule>
    <cfRule type="cellIs" dxfId="270" priority="23" operator="greaterThan">
      <formula>0</formula>
    </cfRule>
  </conditionalFormatting>
  <conditionalFormatting sqref="B55">
    <cfRule type="cellIs" dxfId="269" priority="5" operator="greaterThan">
      <formula>0</formula>
    </cfRule>
    <cfRule type="cellIs" dxfId="268" priority="6" operator="lessThan">
      <formula>0</formula>
    </cfRule>
  </conditionalFormatting>
  <conditionalFormatting sqref="D23:D41 B47">
    <cfRule type="cellIs" dxfId="267" priority="24" operator="lessThan">
      <formula>0</formula>
    </cfRule>
    <cfRule type="cellIs" dxfId="266" priority="25" operator="greaterThan">
      <formula>0</formula>
    </cfRule>
  </conditionalFormatting>
  <conditionalFormatting sqref="F58">
    <cfRule type="cellIs" dxfId="265" priority="3" operator="lessThan">
      <formula>0</formula>
    </cfRule>
    <cfRule type="cellIs" dxfId="264" priority="4" operator="greaterThan">
      <formula>0</formula>
    </cfRule>
  </conditionalFormatting>
  <conditionalFormatting sqref="I58">
    <cfRule type="cellIs" dxfId="263" priority="1" operator="lessThan">
      <formula>0</formula>
    </cfRule>
    <cfRule type="cellIs" dxfId="262" priority="2" operator="greaterThan">
      <formula>0</formula>
    </cfRule>
  </conditionalFormatting>
  <dataValidations count="4">
    <dataValidation type="list" allowBlank="1" showInputMessage="1" showErrorMessage="1" sqref="C5:C17" xr:uid="{A336C1D4-7780-4CBC-9D47-45747A3E82ED}">
      <formula1>$K$5:$K$10</formula1>
    </dataValidation>
    <dataValidation type="list" showInputMessage="1" showErrorMessage="1" sqref="E23:E37 E39:E41" xr:uid="{D28F0A1D-A916-4810-934E-364533932E2D}">
      <formula1>$K$12:$K$14</formula1>
    </dataValidation>
    <dataValidation type="list" allowBlank="1" showInputMessage="1" showErrorMessage="1" sqref="B53" xr:uid="{000EFF47-442E-4D37-B521-AB72857D7905}">
      <formula1>$K$12:$K$14</formula1>
    </dataValidation>
    <dataValidation type="list" showInputMessage="1" showErrorMessage="1" sqref="B49" xr:uid="{C8F9DCDB-E9DB-4C00-A971-DD0AEB823D5E}">
      <formula1>$K$5:$K$14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34DF3-D524-47D3-AB7E-125A338EA5BD}">
  <dimension ref="A1:O58"/>
  <sheetViews>
    <sheetView topLeftCell="A30" workbookViewId="0">
      <selection activeCell="D49" sqref="D49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15.5546875" style="2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170</v>
      </c>
      <c r="B2" s="4" t="s">
        <v>187</v>
      </c>
      <c r="F2" s="28"/>
      <c r="G2" s="5" t="s">
        <v>24</v>
      </c>
      <c r="I2" s="5" t="str">
        <f>+$B$2</f>
        <v>BAQ-18453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46134</v>
      </c>
      <c r="B5" s="9">
        <v>35074500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35074500</v>
      </c>
      <c r="C20" s="6" t="s">
        <v>27</v>
      </c>
      <c r="D20" s="2">
        <f>+IF($A$47="SALDO A FAVOR",$B$20*0.004,($B$20+ABS($B$47))*0.004)</f>
        <v>140298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54</v>
      </c>
      <c r="B23" s="13" t="s">
        <v>171</v>
      </c>
      <c r="C23" s="14">
        <v>17299000</v>
      </c>
      <c r="D23" s="2">
        <f>+$B$20-C23</f>
        <v>17775500</v>
      </c>
      <c r="E23" s="2" t="s">
        <v>10</v>
      </c>
      <c r="F23" s="9" cm="1">
        <f t="array" ref="F23">+IF(E23=$K$11,0,_xlfn.IFS(E23=$K$12,$L$12,E23=$K$13,$L$13,E23=$K$14,$L$14))</f>
        <v>0</v>
      </c>
    </row>
    <row r="24" spans="1:8" x14ac:dyDescent="0.3">
      <c r="A24" s="12" t="s">
        <v>50</v>
      </c>
      <c r="B24" s="13"/>
      <c r="C24" s="14">
        <v>1000000</v>
      </c>
      <c r="D24" s="2">
        <f>+D23-C24</f>
        <v>16775500</v>
      </c>
      <c r="E24" s="2" t="s">
        <v>34</v>
      </c>
      <c r="F24" s="9" cm="1">
        <f t="array" ref="F24">+IF(E24=$K$11,0,_xlfn.IFS(E24=$K$12,$L$12,E24=$K$13,$L$13,E24=$K$14,$L$14))</f>
        <v>3900</v>
      </c>
    </row>
    <row r="25" spans="1:8" x14ac:dyDescent="0.3">
      <c r="A25" s="12" t="s">
        <v>77</v>
      </c>
      <c r="B25" s="13" t="s">
        <v>172</v>
      </c>
      <c r="C25" s="14">
        <v>1066596</v>
      </c>
      <c r="D25" s="2">
        <f t="shared" ref="D25:D40" si="0">+D24-C25</f>
        <v>15708904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75</v>
      </c>
      <c r="B26" s="13" t="s">
        <v>173</v>
      </c>
      <c r="C26" s="14">
        <v>5291221</v>
      </c>
      <c r="D26" s="2">
        <f t="shared" si="0"/>
        <v>10417683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84</v>
      </c>
      <c r="B27" s="13"/>
      <c r="C27" s="14">
        <v>1250000</v>
      </c>
      <c r="D27" s="2">
        <f t="shared" si="0"/>
        <v>9167683</v>
      </c>
      <c r="E27" s="2" t="s">
        <v>34</v>
      </c>
      <c r="F27" s="9" cm="1">
        <f t="array" ref="F27">+IF(E27=$K$11,0,_xlfn.IFS(E27=$K$12,$L$12,E27=$K$13,$L$13,E27=$K$14,$L$14))</f>
        <v>3900</v>
      </c>
    </row>
    <row r="28" spans="1:8" x14ac:dyDescent="0.3">
      <c r="A28" s="12" t="s">
        <v>65</v>
      </c>
      <c r="B28" s="13" t="s">
        <v>174</v>
      </c>
      <c r="C28" s="14">
        <v>7024869</v>
      </c>
      <c r="D28" s="2">
        <f t="shared" si="0"/>
        <v>2142814</v>
      </c>
      <c r="E28" s="2" t="s">
        <v>10</v>
      </c>
      <c r="F28" s="9" cm="1">
        <f t="array" ref="F28">+IF(E28=$K$11,0,_xlfn.IFS(E28=$K$12,$L$12,E28=$K$13,$L$13,E28=$K$14,$L$14))</f>
        <v>0</v>
      </c>
    </row>
    <row r="29" spans="1:8" x14ac:dyDescent="0.3">
      <c r="A29" s="12"/>
      <c r="B29" s="13"/>
      <c r="C29" s="14"/>
      <c r="D29" s="2">
        <f t="shared" si="0"/>
        <v>2142814</v>
      </c>
      <c r="F29" s="9" cm="1">
        <f t="array" ref="F29">+IF(E29=$K$11,0,_xlfn.IFS(E29=$K$12,$L$12,E29=$K$13,$L$13,E29=$K$14,$L$14))</f>
        <v>0</v>
      </c>
    </row>
    <row r="30" spans="1:8" x14ac:dyDescent="0.3">
      <c r="A30" s="12"/>
      <c r="B30" s="13"/>
      <c r="C30" s="14"/>
      <c r="D30" s="2">
        <f t="shared" si="0"/>
        <v>2142814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2142814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2142814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2142814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2142814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2142814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2142814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2142814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BAQ-18453</v>
      </c>
      <c r="C38" s="16">
        <v>150000</v>
      </c>
      <c r="D38" s="2">
        <f t="shared" si="0"/>
        <v>1992814</v>
      </c>
      <c r="E38" s="6" t="s">
        <v>12</v>
      </c>
      <c r="F38" s="9">
        <f>+SUM(F23:F37)+$D$18</f>
        <v>9750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1916814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140298</v>
      </c>
      <c r="D40" s="2">
        <f t="shared" si="0"/>
        <v>1776516</v>
      </c>
      <c r="F40" s="9"/>
    </row>
    <row r="41" spans="1:6" x14ac:dyDescent="0.3">
      <c r="A41" s="20" t="s">
        <v>20</v>
      </c>
      <c r="B41" s="21"/>
      <c r="C41" s="22">
        <f>+$F$38</f>
        <v>9750</v>
      </c>
      <c r="D41" s="2">
        <f>+D40-C41</f>
        <v>1766766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BAQ-18453</v>
      </c>
    </row>
    <row r="45" spans="1:6" x14ac:dyDescent="0.3">
      <c r="A45" s="25" t="s">
        <v>21</v>
      </c>
      <c r="B45" s="26">
        <v>46155</v>
      </c>
    </row>
    <row r="46" spans="1:6" x14ac:dyDescent="0.3">
      <c r="A46" s="25" t="s">
        <v>12</v>
      </c>
      <c r="B46" s="27">
        <v>33128000</v>
      </c>
    </row>
    <row r="47" spans="1:6" x14ac:dyDescent="0.3">
      <c r="A47" s="47" t="str">
        <f>+IF($B$47&gt;0,"SALDO A FAVOR","SALDO A CARGO")</f>
        <v>SALDO A FAVOR</v>
      </c>
      <c r="B47" s="48">
        <f>+$B$20-$B$46</f>
        <v>1946500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-179734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-179734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DO.CTG26-0118</v>
      </c>
      <c r="B58" s="39" t="str">
        <f>+$B$2</f>
        <v>BAQ-18453</v>
      </c>
      <c r="C58" s="56">
        <f>+$B$20</f>
        <v>35074500</v>
      </c>
      <c r="D58" s="57">
        <f>+$B$45</f>
        <v>46155</v>
      </c>
      <c r="E58" s="56">
        <f>+$B$46</f>
        <v>33128000</v>
      </c>
      <c r="F58" s="56">
        <f>+$B$47</f>
        <v>1946500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-179734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261" priority="21">
      <formula>$E$23="PSE"</formula>
    </cfRule>
  </conditionalFormatting>
  <conditionalFormatting sqref="A24:C24">
    <cfRule type="expression" dxfId="260" priority="20">
      <formula>$E$24="PSE"</formula>
    </cfRule>
  </conditionalFormatting>
  <conditionalFormatting sqref="A25:C25">
    <cfRule type="expression" dxfId="259" priority="19">
      <formula>$E$25="PSE"</formula>
    </cfRule>
  </conditionalFormatting>
  <conditionalFormatting sqref="A26:C26">
    <cfRule type="expression" dxfId="258" priority="18">
      <formula>$E$26="PSE"</formula>
    </cfRule>
  </conditionalFormatting>
  <conditionalFormatting sqref="A27:C27">
    <cfRule type="expression" dxfId="257" priority="17">
      <formula>$E$27="PSE"</formula>
    </cfRule>
  </conditionalFormatting>
  <conditionalFormatting sqref="A28:C28">
    <cfRule type="expression" dxfId="256" priority="16">
      <formula>$E$28="PSE"</formula>
    </cfRule>
  </conditionalFormatting>
  <conditionalFormatting sqref="A29:C29">
    <cfRule type="expression" dxfId="255" priority="15">
      <formula>$E$29="PSE"</formula>
    </cfRule>
  </conditionalFormatting>
  <conditionalFormatting sqref="A30:C30">
    <cfRule type="expression" dxfId="254" priority="14">
      <formula>$E$30="PSE"</formula>
    </cfRule>
  </conditionalFormatting>
  <conditionalFormatting sqref="A31:C31">
    <cfRule type="expression" dxfId="253" priority="13">
      <formula>$E$31="PSE"</formula>
    </cfRule>
  </conditionalFormatting>
  <conditionalFormatting sqref="A32:C32">
    <cfRule type="expression" dxfId="252" priority="12">
      <formula>$E$32="PSE"</formula>
    </cfRule>
  </conditionalFormatting>
  <conditionalFormatting sqref="A33:C33">
    <cfRule type="expression" dxfId="251" priority="11">
      <formula>$E$33="PSE"</formula>
    </cfRule>
  </conditionalFormatting>
  <conditionalFormatting sqref="A34:C34">
    <cfRule type="expression" dxfId="250" priority="10">
      <formula>$E$34="PSE"</formula>
    </cfRule>
  </conditionalFormatting>
  <conditionalFormatting sqref="A35:C35">
    <cfRule type="expression" dxfId="249" priority="9">
      <formula>$E$35="PSE"</formula>
    </cfRule>
  </conditionalFormatting>
  <conditionalFormatting sqref="A36:C36">
    <cfRule type="expression" dxfId="248" priority="8">
      <formula>$E$36="PSE"</formula>
    </cfRule>
  </conditionalFormatting>
  <conditionalFormatting sqref="A37:C37">
    <cfRule type="expression" dxfId="247" priority="7">
      <formula>$E$37="PSE"</formula>
    </cfRule>
  </conditionalFormatting>
  <conditionalFormatting sqref="B51">
    <cfRule type="cellIs" dxfId="246" priority="22" operator="lessThan">
      <formula>0</formula>
    </cfRule>
    <cfRule type="cellIs" dxfId="245" priority="23" operator="greaterThan">
      <formula>0</formula>
    </cfRule>
  </conditionalFormatting>
  <conditionalFormatting sqref="B55">
    <cfRule type="cellIs" dxfId="244" priority="5" operator="greaterThan">
      <formula>0</formula>
    </cfRule>
    <cfRule type="cellIs" dxfId="243" priority="6" operator="lessThan">
      <formula>0</formula>
    </cfRule>
  </conditionalFormatting>
  <conditionalFormatting sqref="D23:D41 B47">
    <cfRule type="cellIs" dxfId="242" priority="24" operator="lessThan">
      <formula>0</formula>
    </cfRule>
    <cfRule type="cellIs" dxfId="241" priority="25" operator="greaterThan">
      <formula>0</formula>
    </cfRule>
  </conditionalFormatting>
  <conditionalFormatting sqref="F58">
    <cfRule type="cellIs" dxfId="240" priority="3" operator="lessThan">
      <formula>0</formula>
    </cfRule>
    <cfRule type="cellIs" dxfId="239" priority="4" operator="greaterThan">
      <formula>0</formula>
    </cfRule>
  </conditionalFormatting>
  <conditionalFormatting sqref="I58">
    <cfRule type="cellIs" dxfId="238" priority="1" operator="lessThan">
      <formula>0</formula>
    </cfRule>
    <cfRule type="cellIs" dxfId="237" priority="2" operator="greaterThan">
      <formula>0</formula>
    </cfRule>
  </conditionalFormatting>
  <dataValidations count="4">
    <dataValidation type="list" showInputMessage="1" showErrorMessage="1" sqref="B49" xr:uid="{7C6C31C5-66E4-4C2F-B71D-9C207F141160}">
      <formula1>$K$5:$K$14</formula1>
    </dataValidation>
    <dataValidation type="list" allowBlank="1" showInputMessage="1" showErrorMessage="1" sqref="B53" xr:uid="{825AF50D-6178-44FA-82E7-82ED7C2591AA}">
      <formula1>$K$12:$K$14</formula1>
    </dataValidation>
    <dataValidation type="list" showInputMessage="1" showErrorMessage="1" sqref="E23:E37 E39:E41" xr:uid="{87939DA6-83C0-478D-A2BE-59C3E17AEBC9}">
      <formula1>$K$12:$K$14</formula1>
    </dataValidation>
    <dataValidation type="list" allowBlank="1" showInputMessage="1" showErrorMessage="1" sqref="C5:C17" xr:uid="{167F5907-AB6F-4778-BC6D-3484795E2AAA}">
      <formula1>$K$5:$K$10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E1AC3-8B9B-4AA7-9640-3DC93E3DCF35}">
  <dimension ref="A1:O58"/>
  <sheetViews>
    <sheetView topLeftCell="A27" workbookViewId="0">
      <selection activeCell="D48" sqref="D48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166</v>
      </c>
      <c r="B2" s="4" t="s">
        <v>194</v>
      </c>
      <c r="F2" s="28"/>
      <c r="G2" s="5" t="s">
        <v>24</v>
      </c>
      <c r="I2" s="5" t="str">
        <f>+$B$2</f>
        <v>BAQ-18455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46134</v>
      </c>
      <c r="B5" s="9">
        <v>34755000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>
        <v>46144</v>
      </c>
      <c r="B6" s="9">
        <v>8309000</v>
      </c>
      <c r="C6" s="9" t="s">
        <v>6</v>
      </c>
      <c r="D6" s="9" cm="1">
        <f t="array" ref="D6">+IF(C6=$K$7,0,_xlfn.IFS(C6=$K$5,$L$5,C6=$K$6,$L$6,C6=$K$8,$L$8,C6=$K$9,$L$9,C6=$K$10,$L$10))</f>
        <v>1950</v>
      </c>
      <c r="E6" s="9"/>
      <c r="K6" s="31" t="s">
        <v>8</v>
      </c>
      <c r="L6" s="31">
        <v>2200</v>
      </c>
    </row>
    <row r="7" spans="1:15" x14ac:dyDescent="0.3">
      <c r="A7" s="8">
        <v>46147</v>
      </c>
      <c r="B7" s="9">
        <v>6655845</v>
      </c>
      <c r="C7" s="9" t="s">
        <v>6</v>
      </c>
      <c r="D7" s="9" cm="1">
        <f t="array" ref="D7">+IF(C7=$K$7,0,_xlfn.IFS(C7=$K$5,$L$5,C7=$K$6,$L$6,C7=$K$8,$L$8,C7=$K$9,$L$9,C7=$K$10,$L$10))</f>
        <v>1950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5850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49719845</v>
      </c>
      <c r="C20" s="6" t="s">
        <v>27</v>
      </c>
      <c r="D20" s="2">
        <f>+IF($A$47="SALDO A FAVOR",$B$20*0.004,($B$20+ABS($B$47))*0.004)</f>
        <v>212215.72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54</v>
      </c>
      <c r="B23" s="13" t="s">
        <v>167</v>
      </c>
      <c r="C23" s="14">
        <v>15893000</v>
      </c>
      <c r="D23" s="2">
        <f>+$B$20-C23</f>
        <v>33826845</v>
      </c>
      <c r="E23" s="2" t="s">
        <v>10</v>
      </c>
      <c r="F23" s="9" cm="1">
        <f t="array" ref="F23">+IF(E23=$K$11,0,_xlfn.IFS(E23=$K$12,$L$12,E23=$K$13,$L$13,E23=$K$14,$L$14))</f>
        <v>0</v>
      </c>
    </row>
    <row r="24" spans="1:8" x14ac:dyDescent="0.3">
      <c r="A24" s="12" t="s">
        <v>50</v>
      </c>
      <c r="B24" s="13"/>
      <c r="C24" s="14">
        <v>1000000</v>
      </c>
      <c r="D24" s="2">
        <f>+D23-C24</f>
        <v>32826845</v>
      </c>
      <c r="E24" s="2" t="s">
        <v>34</v>
      </c>
      <c r="F24" s="9" cm="1">
        <f t="array" ref="F24">+IF(E24=$K$11,0,_xlfn.IFS(E24=$K$12,$L$12,E24=$K$13,$L$13,E24=$K$14,$L$14))</f>
        <v>3900</v>
      </c>
    </row>
    <row r="25" spans="1:8" x14ac:dyDescent="0.3">
      <c r="A25" s="12" t="s">
        <v>77</v>
      </c>
      <c r="B25" s="13" t="s">
        <v>168</v>
      </c>
      <c r="C25" s="14">
        <v>1066596</v>
      </c>
      <c r="D25" s="2">
        <f t="shared" ref="D25:D40" si="0">+D24-C25</f>
        <v>31760249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75</v>
      </c>
      <c r="B26" s="13" t="s">
        <v>169</v>
      </c>
      <c r="C26" s="14">
        <v>5291221</v>
      </c>
      <c r="D26" s="2">
        <f t="shared" si="0"/>
        <v>26469028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84</v>
      </c>
      <c r="B27" s="13"/>
      <c r="C27" s="14">
        <v>1250000</v>
      </c>
      <c r="D27" s="2">
        <f t="shared" si="0"/>
        <v>25219028</v>
      </c>
      <c r="E27" s="2" t="s">
        <v>34</v>
      </c>
      <c r="F27" s="9" cm="1">
        <f t="array" ref="F27">+IF(E27=$K$11,0,_xlfn.IFS(E27=$K$12,$L$12,E27=$K$13,$L$13,E27=$K$14,$L$14))</f>
        <v>3900</v>
      </c>
    </row>
    <row r="28" spans="1:8" x14ac:dyDescent="0.3">
      <c r="A28" s="12" t="s">
        <v>182</v>
      </c>
      <c r="B28" s="13"/>
      <c r="C28" s="14">
        <v>8400000</v>
      </c>
      <c r="D28" s="2">
        <f t="shared" si="0"/>
        <v>16819028</v>
      </c>
      <c r="E28" s="2" t="s">
        <v>34</v>
      </c>
      <c r="F28" s="9" cm="1">
        <f t="array" ref="F28">+IF(E28=$K$11,0,_xlfn.IFS(E28=$K$12,$L$12,E28=$K$13,$L$13,E28=$K$14,$L$14))</f>
        <v>3900</v>
      </c>
    </row>
    <row r="29" spans="1:8" x14ac:dyDescent="0.3">
      <c r="A29" s="12" t="s">
        <v>65</v>
      </c>
      <c r="B29" s="13" t="s">
        <v>183</v>
      </c>
      <c r="C29" s="14">
        <v>12608650</v>
      </c>
      <c r="D29" s="2">
        <f t="shared" si="0"/>
        <v>4210378</v>
      </c>
      <c r="E29" s="2" t="s">
        <v>10</v>
      </c>
      <c r="F29" s="9" cm="1">
        <f t="array" ref="F29">+IF(E29=$K$11,0,_xlfn.IFS(E29=$K$12,$L$12,E29=$K$13,$L$13,E29=$K$14,$L$14))</f>
        <v>0</v>
      </c>
    </row>
    <row r="30" spans="1:8" x14ac:dyDescent="0.3">
      <c r="A30" s="12" t="s">
        <v>65</v>
      </c>
      <c r="B30" s="13" t="s">
        <v>184</v>
      </c>
      <c r="C30" s="14">
        <v>703918</v>
      </c>
      <c r="D30" s="2">
        <f t="shared" si="0"/>
        <v>3506460</v>
      </c>
      <c r="E30" s="2" t="s">
        <v>10</v>
      </c>
      <c r="F30" s="9" cm="1">
        <f t="array" ref="F30">+IF(E30=$K$11,0,_xlfn.IFS(E30=$K$12,$L$12,E30=$K$13,$L$13,E30=$K$14,$L$14))</f>
        <v>0</v>
      </c>
    </row>
    <row r="31" spans="1:8" x14ac:dyDescent="0.3">
      <c r="A31" s="12" t="s">
        <v>185</v>
      </c>
      <c r="B31" s="13" t="s">
        <v>186</v>
      </c>
      <c r="C31" s="14">
        <v>6655845</v>
      </c>
      <c r="D31" s="2">
        <f t="shared" si="0"/>
        <v>-3149385</v>
      </c>
      <c r="E31" s="2" t="s">
        <v>10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-3149385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-3149385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-3149385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-3149385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-3149385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-3149385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BAQ-18455</v>
      </c>
      <c r="C38" s="16">
        <v>150000</v>
      </c>
      <c r="D38" s="2">
        <f t="shared" si="0"/>
        <v>-3299385</v>
      </c>
      <c r="E38" s="6" t="s">
        <v>12</v>
      </c>
      <c r="F38" s="9">
        <f>+SUM(F23:F37)+$D$18</f>
        <v>17550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-3375385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212215.72</v>
      </c>
      <c r="D40" s="2">
        <f t="shared" si="0"/>
        <v>-3587600.72</v>
      </c>
      <c r="F40" s="9"/>
    </row>
    <row r="41" spans="1:6" x14ac:dyDescent="0.3">
      <c r="A41" s="20" t="s">
        <v>20</v>
      </c>
      <c r="B41" s="21"/>
      <c r="C41" s="22">
        <f>+$F$38</f>
        <v>17550</v>
      </c>
      <c r="D41" s="2">
        <f>+D40-C41</f>
        <v>-3605150.72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BAQ-18455</v>
      </c>
    </row>
    <row r="45" spans="1:6" x14ac:dyDescent="0.3">
      <c r="A45" s="25" t="s">
        <v>21</v>
      </c>
      <c r="B45" s="26">
        <v>46156</v>
      </c>
    </row>
    <row r="46" spans="1:6" x14ac:dyDescent="0.3">
      <c r="A46" s="25" t="s">
        <v>12</v>
      </c>
      <c r="B46" s="27">
        <v>53053930</v>
      </c>
    </row>
    <row r="47" spans="1:6" x14ac:dyDescent="0.3">
      <c r="A47" s="47" t="str">
        <f>+IF($B$47&gt;0,"SALDO A FAVOR","SALDO A CARGO")</f>
        <v>SALDO A CARGO</v>
      </c>
      <c r="B47" s="48">
        <f>+$B$20-$B$46</f>
        <v>-3334085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RECAUDO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-3605150.72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RECAUDO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-3605150.72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DO.CTG26-0124</v>
      </c>
      <c r="B58" s="39" t="str">
        <f>+$B$2</f>
        <v>BAQ-18455</v>
      </c>
      <c r="C58" s="56">
        <f>+$B$20</f>
        <v>49719845</v>
      </c>
      <c r="D58" s="57">
        <f>+$B$45</f>
        <v>46156</v>
      </c>
      <c r="E58" s="56">
        <f>+$B$46</f>
        <v>53053930</v>
      </c>
      <c r="F58" s="56">
        <f>+$B$47</f>
        <v>-3334085</v>
      </c>
      <c r="G58" s="39" t="str">
        <f>+IF(F58&gt;0,"SALDO A FAVOR","SALDO A CARGO")</f>
        <v>SALDO A CARGO</v>
      </c>
      <c r="H58" s="58" t="str">
        <f>+$B$48</f>
        <v>X</v>
      </c>
      <c r="I58" s="55">
        <f>+$B$55</f>
        <v>-3605150.72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236" priority="21">
      <formula>$E$23="PSE"</formula>
    </cfRule>
  </conditionalFormatting>
  <conditionalFormatting sqref="A24:C24">
    <cfRule type="expression" dxfId="235" priority="20">
      <formula>$E$24="PSE"</formula>
    </cfRule>
  </conditionalFormatting>
  <conditionalFormatting sqref="A25:C25">
    <cfRule type="expression" dxfId="234" priority="19">
      <formula>$E$25="PSE"</formula>
    </cfRule>
  </conditionalFormatting>
  <conditionalFormatting sqref="A26:C26">
    <cfRule type="expression" dxfId="233" priority="18">
      <formula>$E$26="PSE"</formula>
    </cfRule>
  </conditionalFormatting>
  <conditionalFormatting sqref="A27:C27">
    <cfRule type="expression" dxfId="232" priority="17">
      <formula>$E$27="PSE"</formula>
    </cfRule>
  </conditionalFormatting>
  <conditionalFormatting sqref="A28:C28">
    <cfRule type="expression" dxfId="231" priority="16">
      <formula>$E$28="PSE"</formula>
    </cfRule>
  </conditionalFormatting>
  <conditionalFormatting sqref="A29:C29">
    <cfRule type="expression" dxfId="230" priority="15">
      <formula>$E$29="PSE"</formula>
    </cfRule>
  </conditionalFormatting>
  <conditionalFormatting sqref="A30:C30">
    <cfRule type="expression" dxfId="229" priority="14">
      <formula>$E$30="PSE"</formula>
    </cfRule>
  </conditionalFormatting>
  <conditionalFormatting sqref="A31:C31">
    <cfRule type="expression" dxfId="228" priority="13">
      <formula>$E$31="PSE"</formula>
    </cfRule>
  </conditionalFormatting>
  <conditionalFormatting sqref="A32:C32">
    <cfRule type="expression" dxfId="227" priority="12">
      <formula>$E$32="PSE"</formula>
    </cfRule>
  </conditionalFormatting>
  <conditionalFormatting sqref="A33:C33">
    <cfRule type="expression" dxfId="226" priority="11">
      <formula>$E$33="PSE"</formula>
    </cfRule>
  </conditionalFormatting>
  <conditionalFormatting sqref="A34:C34">
    <cfRule type="expression" dxfId="225" priority="10">
      <formula>$E$34="PSE"</formula>
    </cfRule>
  </conditionalFormatting>
  <conditionalFormatting sqref="A35:C35">
    <cfRule type="expression" dxfId="224" priority="9">
      <formula>$E$35="PSE"</formula>
    </cfRule>
  </conditionalFormatting>
  <conditionalFormatting sqref="A36:C36">
    <cfRule type="expression" dxfId="223" priority="8">
      <formula>$E$36="PSE"</formula>
    </cfRule>
  </conditionalFormatting>
  <conditionalFormatting sqref="A37:C37">
    <cfRule type="expression" dxfId="222" priority="7">
      <formula>$E$37="PSE"</formula>
    </cfRule>
  </conditionalFormatting>
  <conditionalFormatting sqref="B51">
    <cfRule type="cellIs" dxfId="221" priority="22" operator="lessThan">
      <formula>0</formula>
    </cfRule>
    <cfRule type="cellIs" dxfId="220" priority="23" operator="greaterThan">
      <formula>0</formula>
    </cfRule>
  </conditionalFormatting>
  <conditionalFormatting sqref="B55">
    <cfRule type="cellIs" dxfId="219" priority="5" operator="greaterThan">
      <formula>0</formula>
    </cfRule>
    <cfRule type="cellIs" dxfId="218" priority="6" operator="lessThan">
      <formula>0</formula>
    </cfRule>
  </conditionalFormatting>
  <conditionalFormatting sqref="D23:D41 B47">
    <cfRule type="cellIs" dxfId="217" priority="24" operator="lessThan">
      <formula>0</formula>
    </cfRule>
    <cfRule type="cellIs" dxfId="216" priority="25" operator="greaterThan">
      <formula>0</formula>
    </cfRule>
  </conditionalFormatting>
  <conditionalFormatting sqref="F58">
    <cfRule type="cellIs" dxfId="215" priority="3" operator="lessThan">
      <formula>0</formula>
    </cfRule>
    <cfRule type="cellIs" dxfId="214" priority="4" operator="greaterThan">
      <formula>0</formula>
    </cfRule>
  </conditionalFormatting>
  <conditionalFormatting sqref="I58">
    <cfRule type="cellIs" dxfId="213" priority="1" operator="lessThan">
      <formula>0</formula>
    </cfRule>
    <cfRule type="cellIs" dxfId="212" priority="2" operator="greaterThan">
      <formula>0</formula>
    </cfRule>
  </conditionalFormatting>
  <dataValidations count="4">
    <dataValidation type="list" allowBlank="1" showInputMessage="1" showErrorMessage="1" sqref="C5:C17" xr:uid="{CB1FBA38-8154-4086-98DF-69325E576AD5}">
      <formula1>$K$5:$K$10</formula1>
    </dataValidation>
    <dataValidation type="list" showInputMessage="1" showErrorMessage="1" sqref="E23:E37 E39:E41" xr:uid="{0B7557F8-C708-4E8A-B1D0-48EFADE5BC37}">
      <formula1>$K$12:$K$14</formula1>
    </dataValidation>
    <dataValidation type="list" allowBlank="1" showInputMessage="1" showErrorMessage="1" sqref="B53" xr:uid="{5EFB34B4-6C31-4CBB-B179-8D91AB0A01D6}">
      <formula1>$K$12:$K$14</formula1>
    </dataValidation>
    <dataValidation type="list" showInputMessage="1" showErrorMessage="1" sqref="B49" xr:uid="{61854F50-8892-4FA4-9035-7A46D20B92F4}">
      <formula1>$K$5:$K$14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CEBBC-64BA-4E4D-AE6D-FB3E1865B575}">
  <dimension ref="A1:O58"/>
  <sheetViews>
    <sheetView workbookViewId="0">
      <selection activeCell="F45" sqref="F45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188</v>
      </c>
      <c r="B2" s="4" t="s">
        <v>193</v>
      </c>
      <c r="F2" s="28"/>
      <c r="G2" s="5" t="s">
        <v>24</v>
      </c>
      <c r="I2" s="5" t="str">
        <f>+$B$2</f>
        <v>BAQ-18454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46140</v>
      </c>
      <c r="B5" s="9">
        <v>32602000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32602000</v>
      </c>
      <c r="C20" s="6" t="s">
        <v>27</v>
      </c>
      <c r="D20" s="2">
        <f>+IF($A$47="SALDO A FAVOR",$B$20*0.004,($B$20+ABS($B$47))*0.004)</f>
        <v>130408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54</v>
      </c>
      <c r="B23" s="13" t="s">
        <v>189</v>
      </c>
      <c r="C23" s="14">
        <v>15654000</v>
      </c>
      <c r="D23" s="2">
        <f>+$B$20-C23</f>
        <v>16948000</v>
      </c>
      <c r="E23" s="2" t="s">
        <v>10</v>
      </c>
      <c r="F23" s="9" cm="1">
        <f t="array" ref="F23">+IF(E23=$K$11,0,_xlfn.IFS(E23=$K$12,$L$12,E23=$K$13,$L$13,E23=$K$14,$L$14))</f>
        <v>0</v>
      </c>
    </row>
    <row r="24" spans="1:8" x14ac:dyDescent="0.3">
      <c r="A24" s="12" t="s">
        <v>75</v>
      </c>
      <c r="B24" s="13" t="s">
        <v>190</v>
      </c>
      <c r="C24" s="14">
        <v>5293203</v>
      </c>
      <c r="D24" s="2">
        <f>+D23-C24</f>
        <v>11654797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77</v>
      </c>
      <c r="B25" s="13" t="s">
        <v>191</v>
      </c>
      <c r="C25" s="14">
        <v>1073854</v>
      </c>
      <c r="D25" s="2">
        <f t="shared" ref="D25:D40" si="0">+D24-C25</f>
        <v>10580943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50</v>
      </c>
      <c r="B26" s="13"/>
      <c r="C26" s="14">
        <v>1000000</v>
      </c>
      <c r="D26" s="2">
        <f t="shared" si="0"/>
        <v>9580943</v>
      </c>
      <c r="E26" s="2" t="s">
        <v>34</v>
      </c>
      <c r="F26" s="9" cm="1">
        <f t="array" ref="F26">+IF(E26=$K$11,0,_xlfn.IFS(E26=$K$12,$L$12,E26=$K$13,$L$13,E26=$K$14,$L$14))</f>
        <v>3900</v>
      </c>
    </row>
    <row r="27" spans="1:8" x14ac:dyDescent="0.3">
      <c r="A27" s="12" t="s">
        <v>65</v>
      </c>
      <c r="B27" s="13" t="s">
        <v>192</v>
      </c>
      <c r="C27" s="14">
        <v>5606275</v>
      </c>
      <c r="D27" s="2">
        <f t="shared" si="0"/>
        <v>3974668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84</v>
      </c>
      <c r="B28" s="13"/>
      <c r="C28" s="14">
        <v>1200000</v>
      </c>
      <c r="D28" s="2">
        <f t="shared" si="0"/>
        <v>2774668</v>
      </c>
      <c r="E28" s="2" t="s">
        <v>34</v>
      </c>
      <c r="F28" s="9" cm="1">
        <f t="array" ref="F28">+IF(E28=$K$11,0,_xlfn.IFS(E28=$K$12,$L$12,E28=$K$13,$L$13,E28=$K$14,$L$14))</f>
        <v>3900</v>
      </c>
    </row>
    <row r="29" spans="1:8" x14ac:dyDescent="0.3">
      <c r="A29" s="12"/>
      <c r="B29" s="13"/>
      <c r="C29" s="14"/>
      <c r="D29" s="2">
        <f t="shared" si="0"/>
        <v>2774668</v>
      </c>
      <c r="F29" s="9" cm="1">
        <f t="array" ref="F29">+IF(E29=$K$11,0,_xlfn.IFS(E29=$K$12,$L$12,E29=$K$13,$L$13,E29=$K$14,$L$14))</f>
        <v>0</v>
      </c>
    </row>
    <row r="30" spans="1:8" x14ac:dyDescent="0.3">
      <c r="A30" s="12"/>
      <c r="B30" s="13"/>
      <c r="C30" s="14"/>
      <c r="D30" s="2">
        <f t="shared" si="0"/>
        <v>2774668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2774668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2774668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2774668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2774668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2774668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2774668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2774668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BAQ-18454</v>
      </c>
      <c r="C38" s="16">
        <v>150000</v>
      </c>
      <c r="D38" s="2">
        <f t="shared" si="0"/>
        <v>2624668</v>
      </c>
      <c r="E38" s="6" t="s">
        <v>12</v>
      </c>
      <c r="F38" s="9">
        <f>+SUM(F23:F37)+$D$18</f>
        <v>9750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2548668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130408</v>
      </c>
      <c r="D40" s="2">
        <f t="shared" si="0"/>
        <v>2418260</v>
      </c>
      <c r="F40" s="9"/>
    </row>
    <row r="41" spans="1:6" x14ac:dyDescent="0.3">
      <c r="A41" s="20" t="s">
        <v>20</v>
      </c>
      <c r="B41" s="21"/>
      <c r="C41" s="22">
        <f>+$F$38</f>
        <v>9750</v>
      </c>
      <c r="D41" s="2">
        <f>+D40-C41</f>
        <v>2408510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BAQ-18454</v>
      </c>
    </row>
    <row r="45" spans="1:6" x14ac:dyDescent="0.3">
      <c r="A45" s="25" t="s">
        <v>21</v>
      </c>
      <c r="B45" s="26">
        <v>46156</v>
      </c>
    </row>
    <row r="46" spans="1:6" x14ac:dyDescent="0.3">
      <c r="A46" s="25" t="s">
        <v>12</v>
      </c>
      <c r="B46" s="27">
        <v>30061428</v>
      </c>
    </row>
    <row r="47" spans="1:6" x14ac:dyDescent="0.3">
      <c r="A47" s="47" t="str">
        <f>+IF($B$47&gt;0,"SALDO A FAVOR","SALDO A CARGO")</f>
        <v>SALDO A FAVOR</v>
      </c>
      <c r="B47" s="48">
        <f>+$B$20-$B$46</f>
        <v>2540572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-132062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-132062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DO.CTG26-0126</v>
      </c>
      <c r="B58" s="39" t="str">
        <f>+$B$2</f>
        <v>BAQ-18454</v>
      </c>
      <c r="C58" s="56">
        <f>+$B$20</f>
        <v>32602000</v>
      </c>
      <c r="D58" s="57">
        <f>+$B$45</f>
        <v>46156</v>
      </c>
      <c r="E58" s="56">
        <f>+$B$46</f>
        <v>30061428</v>
      </c>
      <c r="F58" s="56">
        <f>+$B$47</f>
        <v>2540572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-132062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211" priority="21">
      <formula>$E$23="PSE"</formula>
    </cfRule>
  </conditionalFormatting>
  <conditionalFormatting sqref="A24:C24">
    <cfRule type="expression" dxfId="210" priority="20">
      <formula>$E$24="PSE"</formula>
    </cfRule>
  </conditionalFormatting>
  <conditionalFormatting sqref="A25:C25">
    <cfRule type="expression" dxfId="209" priority="19">
      <formula>$E$25="PSE"</formula>
    </cfRule>
  </conditionalFormatting>
  <conditionalFormatting sqref="A26:C26">
    <cfRule type="expression" dxfId="208" priority="18">
      <formula>$E$26="PSE"</formula>
    </cfRule>
  </conditionalFormatting>
  <conditionalFormatting sqref="A27:C27">
    <cfRule type="expression" dxfId="207" priority="17">
      <formula>$E$27="PSE"</formula>
    </cfRule>
  </conditionalFormatting>
  <conditionalFormatting sqref="A28:C28">
    <cfRule type="expression" dxfId="206" priority="16">
      <formula>$E$28="PSE"</formula>
    </cfRule>
  </conditionalFormatting>
  <conditionalFormatting sqref="A29:C29">
    <cfRule type="expression" dxfId="205" priority="15">
      <formula>$E$29="PSE"</formula>
    </cfRule>
  </conditionalFormatting>
  <conditionalFormatting sqref="A30:C30">
    <cfRule type="expression" dxfId="204" priority="14">
      <formula>$E$30="PSE"</formula>
    </cfRule>
  </conditionalFormatting>
  <conditionalFormatting sqref="A31:C31">
    <cfRule type="expression" dxfId="203" priority="13">
      <formula>$E$31="PSE"</formula>
    </cfRule>
  </conditionalFormatting>
  <conditionalFormatting sqref="A32:C32">
    <cfRule type="expression" dxfId="202" priority="12">
      <formula>$E$32="PSE"</formula>
    </cfRule>
  </conditionalFormatting>
  <conditionalFormatting sqref="A33:C33">
    <cfRule type="expression" dxfId="201" priority="11">
      <formula>$E$33="PSE"</formula>
    </cfRule>
  </conditionalFormatting>
  <conditionalFormatting sqref="A34:C34">
    <cfRule type="expression" dxfId="200" priority="10">
      <formula>$E$34="PSE"</formula>
    </cfRule>
  </conditionalFormatting>
  <conditionalFormatting sqref="A35:C35">
    <cfRule type="expression" dxfId="199" priority="9">
      <formula>$E$35="PSE"</formula>
    </cfRule>
  </conditionalFormatting>
  <conditionalFormatting sqref="A36:C36">
    <cfRule type="expression" dxfId="198" priority="8">
      <formula>$E$36="PSE"</formula>
    </cfRule>
  </conditionalFormatting>
  <conditionalFormatting sqref="A37:C37">
    <cfRule type="expression" dxfId="197" priority="7">
      <formula>$E$37="PSE"</formula>
    </cfRule>
  </conditionalFormatting>
  <conditionalFormatting sqref="B51">
    <cfRule type="cellIs" dxfId="196" priority="22" operator="lessThan">
      <formula>0</formula>
    </cfRule>
    <cfRule type="cellIs" dxfId="195" priority="23" operator="greaterThan">
      <formula>0</formula>
    </cfRule>
  </conditionalFormatting>
  <conditionalFormatting sqref="B55">
    <cfRule type="cellIs" dxfId="194" priority="5" operator="greaterThan">
      <formula>0</formula>
    </cfRule>
    <cfRule type="cellIs" dxfId="193" priority="6" operator="lessThan">
      <formula>0</formula>
    </cfRule>
  </conditionalFormatting>
  <conditionalFormatting sqref="D23:D41 B47">
    <cfRule type="cellIs" dxfId="192" priority="24" operator="lessThan">
      <formula>0</formula>
    </cfRule>
    <cfRule type="cellIs" dxfId="191" priority="25" operator="greaterThan">
      <formula>0</formula>
    </cfRule>
  </conditionalFormatting>
  <conditionalFormatting sqref="F58">
    <cfRule type="cellIs" dxfId="190" priority="3" operator="lessThan">
      <formula>0</formula>
    </cfRule>
    <cfRule type="cellIs" dxfId="189" priority="4" operator="greaterThan">
      <formula>0</formula>
    </cfRule>
  </conditionalFormatting>
  <conditionalFormatting sqref="I58">
    <cfRule type="cellIs" dxfId="188" priority="1" operator="lessThan">
      <formula>0</formula>
    </cfRule>
    <cfRule type="cellIs" dxfId="187" priority="2" operator="greaterThan">
      <formula>0</formula>
    </cfRule>
  </conditionalFormatting>
  <dataValidations count="4">
    <dataValidation type="list" showInputMessage="1" showErrorMessage="1" sqref="B49" xr:uid="{482214CA-E055-4B18-8D78-69F35EFD836C}">
      <formula1>$K$5:$K$14</formula1>
    </dataValidation>
    <dataValidation type="list" allowBlank="1" showInputMessage="1" showErrorMessage="1" sqref="B53" xr:uid="{29363630-9802-486A-9DC7-D2898CC15351}">
      <formula1>$K$12:$K$14</formula1>
    </dataValidation>
    <dataValidation type="list" showInputMessage="1" showErrorMessage="1" sqref="E23:E37 E39:E41" xr:uid="{92FD7854-8C08-4988-878E-5106FD08ED46}">
      <formula1>$K$12:$K$14</formula1>
    </dataValidation>
    <dataValidation type="list" allowBlank="1" showInputMessage="1" showErrorMessage="1" sqref="C5:C17" xr:uid="{B541B631-0A65-4F44-94F6-A7F59CC7F6E1}">
      <formula1>$K$5:$K$10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27DB7-2FF5-4EB5-BC33-89D97097482B}">
  <dimension ref="A1:O58"/>
  <sheetViews>
    <sheetView topLeftCell="A30" workbookViewId="0">
      <selection activeCell="C50" sqref="C50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15.5546875" style="2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207</v>
      </c>
      <c r="B2" s="4" t="s">
        <v>222</v>
      </c>
      <c r="F2" s="28"/>
      <c r="G2" s="5" t="s">
        <v>24</v>
      </c>
      <c r="I2" s="5" t="str">
        <f>+$B$2</f>
        <v>BAQ-18459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46146</v>
      </c>
      <c r="B5" s="9">
        <v>32803000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32803000</v>
      </c>
      <c r="C20" s="6" t="s">
        <v>27</v>
      </c>
      <c r="D20" s="2">
        <f>+IF($A$47="SALDO A FAVOR",$B$20*0.004,($B$20+ABS($B$47))*0.004)</f>
        <v>134643.804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50</v>
      </c>
      <c r="B23" s="13"/>
      <c r="C23" s="14">
        <v>1600000</v>
      </c>
      <c r="D23" s="2">
        <f>+$B$20-C23</f>
        <v>31203000</v>
      </c>
      <c r="F23" s="9" cm="1">
        <f t="array" ref="F23">+IF(E23=$K$11,0,_xlfn.IFS(E23=$K$12,$L$12,E23=$K$13,$L$13,E23=$K$14,$L$14))</f>
        <v>0</v>
      </c>
    </row>
    <row r="24" spans="1:8" x14ac:dyDescent="0.3">
      <c r="A24" s="12" t="s">
        <v>54</v>
      </c>
      <c r="B24" s="13" t="s">
        <v>208</v>
      </c>
      <c r="C24" s="14">
        <v>15940000</v>
      </c>
      <c r="D24" s="2">
        <f>+D23-C24</f>
        <v>15263000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77</v>
      </c>
      <c r="B25" s="13" t="s">
        <v>209</v>
      </c>
      <c r="C25" s="14">
        <v>1112755</v>
      </c>
      <c r="D25" s="2">
        <f t="shared" ref="D25:D40" si="0">+D24-C25</f>
        <v>14150245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75</v>
      </c>
      <c r="B26" s="13" t="s">
        <v>210</v>
      </c>
      <c r="C26" s="14">
        <v>5302446</v>
      </c>
      <c r="D26" s="2">
        <f t="shared" si="0"/>
        <v>8847799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65</v>
      </c>
      <c r="B27" s="13" t="s">
        <v>211</v>
      </c>
      <c r="C27" s="14">
        <v>6258622</v>
      </c>
      <c r="D27" s="2">
        <f t="shared" si="0"/>
        <v>2589177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65</v>
      </c>
      <c r="B28" s="13" t="s">
        <v>212</v>
      </c>
      <c r="C28" s="14">
        <v>1255869</v>
      </c>
      <c r="D28" s="2">
        <f t="shared" si="0"/>
        <v>1333308</v>
      </c>
      <c r="E28" s="2" t="s">
        <v>10</v>
      </c>
      <c r="F28" s="9" cm="1">
        <f t="array" ref="F28">+IF(E28=$K$11,0,_xlfn.IFS(E28=$K$12,$L$12,E28=$K$13,$L$13,E28=$K$14,$L$14))</f>
        <v>0</v>
      </c>
    </row>
    <row r="29" spans="1:8" x14ac:dyDescent="0.3">
      <c r="A29" s="12" t="s">
        <v>65</v>
      </c>
      <c r="B29" s="13" t="s">
        <v>201</v>
      </c>
      <c r="C29" s="14">
        <v>627935</v>
      </c>
      <c r="D29" s="2">
        <f t="shared" si="0"/>
        <v>705373</v>
      </c>
      <c r="E29" s="2" t="s">
        <v>10</v>
      </c>
      <c r="F29" s="9" cm="1">
        <f t="array" ref="F29">+IF(E29=$K$11,0,_xlfn.IFS(E29=$K$12,$L$12,E29=$K$13,$L$13,E29=$K$14,$L$14))</f>
        <v>0</v>
      </c>
    </row>
    <row r="30" spans="1:8" x14ac:dyDescent="0.3">
      <c r="A30" s="12" t="s">
        <v>84</v>
      </c>
      <c r="B30" s="13"/>
      <c r="C30" s="14">
        <v>1300000</v>
      </c>
      <c r="D30" s="2">
        <f t="shared" si="0"/>
        <v>-594627</v>
      </c>
      <c r="F30" s="9" cm="1">
        <f t="array" ref="F30">+IF(E30=$K$11,0,_xlfn.IFS(E30=$K$12,$L$12,E30=$K$13,$L$13,E30=$K$14,$L$14))</f>
        <v>0</v>
      </c>
    </row>
    <row r="31" spans="1:8" x14ac:dyDescent="0.3">
      <c r="A31" s="12" t="s">
        <v>139</v>
      </c>
      <c r="B31" s="13" t="s">
        <v>213</v>
      </c>
      <c r="C31" s="14">
        <v>714887</v>
      </c>
      <c r="D31" s="2">
        <f t="shared" si="0"/>
        <v>-1309514</v>
      </c>
      <c r="E31" s="2" t="s">
        <v>34</v>
      </c>
      <c r="F31" s="9" cm="1">
        <f t="array" ref="F31">+IF(E31=$K$11,0,_xlfn.IFS(E31=$K$12,$L$12,E31=$K$13,$L$13,E31=$K$14,$L$14))</f>
        <v>3900</v>
      </c>
    </row>
    <row r="32" spans="1:8" x14ac:dyDescent="0.3">
      <c r="A32" s="12"/>
      <c r="B32" s="13"/>
      <c r="C32" s="14"/>
      <c r="D32" s="2">
        <f t="shared" si="0"/>
        <v>-1309514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-1309514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-1309514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-1309514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-1309514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-1309514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BAQ-18459</v>
      </c>
      <c r="C38" s="16"/>
      <c r="D38" s="2">
        <f t="shared" si="0"/>
        <v>-1309514</v>
      </c>
      <c r="E38" s="6" t="s">
        <v>12</v>
      </c>
      <c r="F38" s="9">
        <f>+SUM(F23:F37)+$D$18</f>
        <v>5850</v>
      </c>
    </row>
    <row r="39" spans="1:6" x14ac:dyDescent="0.3">
      <c r="A39" s="17" t="s">
        <v>17</v>
      </c>
      <c r="B39" s="92"/>
      <c r="C39" s="18"/>
      <c r="D39" s="2">
        <f t="shared" si="0"/>
        <v>-1309514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134643.804</v>
      </c>
      <c r="D40" s="2">
        <f t="shared" si="0"/>
        <v>-1444157.804</v>
      </c>
      <c r="F40" s="9"/>
    </row>
    <row r="41" spans="1:6" x14ac:dyDescent="0.3">
      <c r="A41" s="20" t="s">
        <v>20</v>
      </c>
      <c r="B41" s="21"/>
      <c r="C41" s="22">
        <f>+$F$38</f>
        <v>5850</v>
      </c>
      <c r="D41" s="2">
        <f>+D40-C41</f>
        <v>-1450007.804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BAQ-18459</v>
      </c>
    </row>
    <row r="45" spans="1:6" x14ac:dyDescent="0.3">
      <c r="A45" s="25" t="s">
        <v>21</v>
      </c>
      <c r="B45" s="26">
        <v>46158</v>
      </c>
    </row>
    <row r="46" spans="1:6" x14ac:dyDescent="0.3">
      <c r="A46" s="25" t="s">
        <v>12</v>
      </c>
      <c r="B46" s="27">
        <v>33660951</v>
      </c>
    </row>
    <row r="47" spans="1:6" x14ac:dyDescent="0.3">
      <c r="A47" s="47" t="str">
        <f>+IF($B$47&gt;0,"SALDO A FAVOR","SALDO A CARGO")</f>
        <v>SALDO A CARGO</v>
      </c>
      <c r="B47" s="48">
        <f>+$B$20-$B$46</f>
        <v>-857951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RECAUDO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-1450007.804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RECAUDO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-1450007.804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DO.CTG26-0128</v>
      </c>
      <c r="B58" s="39" t="str">
        <f>+$B$2</f>
        <v>BAQ-18459</v>
      </c>
      <c r="C58" s="56">
        <f>+$B$20</f>
        <v>32803000</v>
      </c>
      <c r="D58" s="57">
        <f>+$B$45</f>
        <v>46158</v>
      </c>
      <c r="E58" s="56">
        <f>+$B$46</f>
        <v>33660951</v>
      </c>
      <c r="F58" s="56">
        <f>+$B$47</f>
        <v>-857951</v>
      </c>
      <c r="G58" s="39" t="str">
        <f>+IF(F58&gt;0,"SALDO A FAVOR","SALDO A CARGO")</f>
        <v>SALDO A CARGO</v>
      </c>
      <c r="H58" s="58" t="str">
        <f>+$B$48</f>
        <v>X</v>
      </c>
      <c r="I58" s="55">
        <f>+$B$55</f>
        <v>-1450007.804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186" priority="21">
      <formula>$E$23="PSE"</formula>
    </cfRule>
  </conditionalFormatting>
  <conditionalFormatting sqref="A24:C24">
    <cfRule type="expression" dxfId="185" priority="20">
      <formula>$E$24="PSE"</formula>
    </cfRule>
  </conditionalFormatting>
  <conditionalFormatting sqref="A25:C25">
    <cfRule type="expression" dxfId="184" priority="19">
      <formula>$E$25="PSE"</formula>
    </cfRule>
  </conditionalFormatting>
  <conditionalFormatting sqref="A26:C26">
    <cfRule type="expression" dxfId="183" priority="18">
      <formula>$E$26="PSE"</formula>
    </cfRule>
  </conditionalFormatting>
  <conditionalFormatting sqref="A27:C27">
    <cfRule type="expression" dxfId="182" priority="17">
      <formula>$E$27="PSE"</formula>
    </cfRule>
  </conditionalFormatting>
  <conditionalFormatting sqref="A28:C28">
    <cfRule type="expression" dxfId="181" priority="16">
      <formula>$E$28="PSE"</formula>
    </cfRule>
  </conditionalFormatting>
  <conditionalFormatting sqref="A29:C29">
    <cfRule type="expression" dxfId="180" priority="15">
      <formula>$E$29="PSE"</formula>
    </cfRule>
  </conditionalFormatting>
  <conditionalFormatting sqref="A30:C30">
    <cfRule type="expression" dxfId="179" priority="14">
      <formula>$E$30="PSE"</formula>
    </cfRule>
  </conditionalFormatting>
  <conditionalFormatting sqref="A31:C31">
    <cfRule type="expression" dxfId="178" priority="13">
      <formula>$E$31="PSE"</formula>
    </cfRule>
  </conditionalFormatting>
  <conditionalFormatting sqref="A32:C32">
    <cfRule type="expression" dxfId="177" priority="12">
      <formula>$E$32="PSE"</formula>
    </cfRule>
  </conditionalFormatting>
  <conditionalFormatting sqref="A33:C33">
    <cfRule type="expression" dxfId="176" priority="11">
      <formula>$E$33="PSE"</formula>
    </cfRule>
  </conditionalFormatting>
  <conditionalFormatting sqref="A34:C34">
    <cfRule type="expression" dxfId="175" priority="10">
      <formula>$E$34="PSE"</formula>
    </cfRule>
  </conditionalFormatting>
  <conditionalFormatting sqref="A35:C35">
    <cfRule type="expression" dxfId="174" priority="9">
      <formula>$E$35="PSE"</formula>
    </cfRule>
  </conditionalFormatting>
  <conditionalFormatting sqref="A36:C36">
    <cfRule type="expression" dxfId="173" priority="8">
      <formula>$E$36="PSE"</formula>
    </cfRule>
  </conditionalFormatting>
  <conditionalFormatting sqref="A37:C37">
    <cfRule type="expression" dxfId="172" priority="7">
      <formula>$E$37="PSE"</formula>
    </cfRule>
  </conditionalFormatting>
  <conditionalFormatting sqref="B51">
    <cfRule type="cellIs" dxfId="171" priority="22" operator="lessThan">
      <formula>0</formula>
    </cfRule>
    <cfRule type="cellIs" dxfId="170" priority="23" operator="greaterThan">
      <formula>0</formula>
    </cfRule>
  </conditionalFormatting>
  <conditionalFormatting sqref="B55">
    <cfRule type="cellIs" dxfId="169" priority="5" operator="greaterThan">
      <formula>0</formula>
    </cfRule>
    <cfRule type="cellIs" dxfId="168" priority="6" operator="lessThan">
      <formula>0</formula>
    </cfRule>
  </conditionalFormatting>
  <conditionalFormatting sqref="D23:D41 B47">
    <cfRule type="cellIs" dxfId="167" priority="24" operator="lessThan">
      <formula>0</formula>
    </cfRule>
    <cfRule type="cellIs" dxfId="166" priority="25" operator="greaterThan">
      <formula>0</formula>
    </cfRule>
  </conditionalFormatting>
  <conditionalFormatting sqref="F58">
    <cfRule type="cellIs" dxfId="165" priority="3" operator="lessThan">
      <formula>0</formula>
    </cfRule>
    <cfRule type="cellIs" dxfId="164" priority="4" operator="greaterThan">
      <formula>0</formula>
    </cfRule>
  </conditionalFormatting>
  <conditionalFormatting sqref="I58">
    <cfRule type="cellIs" dxfId="163" priority="1" operator="lessThan">
      <formula>0</formula>
    </cfRule>
    <cfRule type="cellIs" dxfId="162" priority="2" operator="greaterThan">
      <formula>0</formula>
    </cfRule>
  </conditionalFormatting>
  <dataValidations disablePrompts="1" count="4">
    <dataValidation type="list" showInputMessage="1" showErrorMessage="1" sqref="B49" xr:uid="{67783D41-6BBF-4153-A4AC-B5845DB7E688}">
      <formula1>$K$5:$K$14</formula1>
    </dataValidation>
    <dataValidation type="list" allowBlank="1" showInputMessage="1" showErrorMessage="1" sqref="B53" xr:uid="{F45D4CFC-7092-4C02-B356-05C2844AF357}">
      <formula1>$K$12:$K$14</formula1>
    </dataValidation>
    <dataValidation type="list" showInputMessage="1" showErrorMessage="1" sqref="E23:E37 E39:E41" xr:uid="{4C8F3B9F-7B31-47E3-A9F4-42C15D019CAA}">
      <formula1>$K$12:$K$14</formula1>
    </dataValidation>
    <dataValidation type="list" allowBlank="1" showInputMessage="1" showErrorMessage="1" sqref="C5:C17" xr:uid="{DF1C8294-F4C2-4D25-B31E-0FAA0415F67A}">
      <formula1>$K$5:$K$10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44E2-1077-4FAA-9EEF-C718C3A3F7C2}">
  <dimension ref="A1:O58"/>
  <sheetViews>
    <sheetView topLeftCell="A6" workbookViewId="0">
      <selection activeCell="E44" sqref="E44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195</v>
      </c>
      <c r="B2" s="4" t="s">
        <v>221</v>
      </c>
      <c r="F2" s="28"/>
      <c r="G2" s="5" t="s">
        <v>24</v>
      </c>
      <c r="I2" s="5" t="str">
        <f>+$B$2</f>
        <v>BAQ-18458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46147</v>
      </c>
      <c r="B5" s="9">
        <v>34712000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34712000</v>
      </c>
      <c r="C20" s="6" t="s">
        <v>27</v>
      </c>
      <c r="D20" s="2">
        <f>+IF($A$47="SALDO A FAVOR",$B$20*0.004,($B$20+ABS($B$47))*0.004)</f>
        <v>138848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87" t="s">
        <v>50</v>
      </c>
      <c r="B23" s="88"/>
      <c r="C23" s="14">
        <v>1600000</v>
      </c>
      <c r="D23" s="2">
        <f>+$B$20-C23</f>
        <v>33112000</v>
      </c>
      <c r="E23" s="2" t="s">
        <v>34</v>
      </c>
      <c r="F23" s="9" cm="1">
        <f t="array" ref="F23">+IF(E23=$K$11,0,_xlfn.IFS(E23=$K$12,$L$12,E23=$K$13,$L$13,E23=$K$14,$L$14))</f>
        <v>3900</v>
      </c>
    </row>
    <row r="24" spans="1:8" x14ac:dyDescent="0.3">
      <c r="A24" s="12" t="s">
        <v>54</v>
      </c>
      <c r="B24" s="13" t="s">
        <v>196</v>
      </c>
      <c r="C24" s="14">
        <v>17841000</v>
      </c>
      <c r="D24" s="2">
        <f>+D23-C24</f>
        <v>15271000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77</v>
      </c>
      <c r="B25" s="13" t="s">
        <v>197</v>
      </c>
      <c r="C25" s="14">
        <v>1112755</v>
      </c>
      <c r="D25" s="2">
        <f t="shared" ref="D25:D40" si="0">+D24-C25</f>
        <v>14158245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75</v>
      </c>
      <c r="B26" s="13" t="s">
        <v>198</v>
      </c>
      <c r="C26" s="14">
        <v>5302446</v>
      </c>
      <c r="D26" s="2">
        <f t="shared" si="0"/>
        <v>8855799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65</v>
      </c>
      <c r="B27" s="13" t="s">
        <v>199</v>
      </c>
      <c r="C27" s="14">
        <v>5844722</v>
      </c>
      <c r="D27" s="2">
        <f t="shared" si="0"/>
        <v>3011077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65</v>
      </c>
      <c r="B28" s="13" t="s">
        <v>200</v>
      </c>
      <c r="C28" s="14">
        <v>1255869</v>
      </c>
      <c r="D28" s="2">
        <f t="shared" si="0"/>
        <v>1755208</v>
      </c>
      <c r="E28" s="2" t="s">
        <v>10</v>
      </c>
      <c r="F28" s="9" cm="1">
        <f t="array" ref="F28">+IF(E28=$K$11,0,_xlfn.IFS(E28=$K$12,$L$12,E28=$K$13,$L$13,E28=$K$14,$L$14))</f>
        <v>0</v>
      </c>
    </row>
    <row r="29" spans="1:8" x14ac:dyDescent="0.3">
      <c r="A29" s="12" t="s">
        <v>65</v>
      </c>
      <c r="B29" s="13" t="s">
        <v>201</v>
      </c>
      <c r="C29" s="14">
        <v>627935</v>
      </c>
      <c r="D29" s="2">
        <f t="shared" si="0"/>
        <v>1127273</v>
      </c>
      <c r="E29" s="2" t="s">
        <v>10</v>
      </c>
      <c r="F29" s="9" cm="1">
        <f t="array" ref="F29">+IF(E29=$K$11,0,_xlfn.IFS(E29=$K$12,$L$12,E29=$K$13,$L$13,E29=$K$14,$L$14))</f>
        <v>0</v>
      </c>
    </row>
    <row r="30" spans="1:8" x14ac:dyDescent="0.3">
      <c r="A30" s="12" t="s">
        <v>84</v>
      </c>
      <c r="B30" s="13"/>
      <c r="C30" s="14">
        <v>1300000</v>
      </c>
      <c r="D30" s="2">
        <f t="shared" si="0"/>
        <v>-172727</v>
      </c>
      <c r="E30" s="2" t="s">
        <v>34</v>
      </c>
      <c r="F30" s="9" cm="1">
        <f t="array" ref="F30">+IF(E30=$K$11,0,_xlfn.IFS(E30=$K$12,$L$12,E30=$K$13,$L$13,E30=$K$14,$L$14))</f>
        <v>3900</v>
      </c>
    </row>
    <row r="31" spans="1:8" x14ac:dyDescent="0.3">
      <c r="A31" s="12"/>
      <c r="B31" s="13"/>
      <c r="C31" s="14"/>
      <c r="D31" s="2">
        <f t="shared" si="0"/>
        <v>-172727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-172727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-172727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-172727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-172727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-172727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-172727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BAQ-18458</v>
      </c>
      <c r="C38" s="16">
        <v>150000</v>
      </c>
      <c r="D38" s="2">
        <f t="shared" si="0"/>
        <v>-322727</v>
      </c>
      <c r="E38" s="6" t="s">
        <v>12</v>
      </c>
      <c r="F38" s="9">
        <f>+SUM(F23:F37)+$D$18</f>
        <v>9750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-398727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138848</v>
      </c>
      <c r="D40" s="2">
        <f t="shared" si="0"/>
        <v>-537575</v>
      </c>
      <c r="F40" s="9"/>
    </row>
    <row r="41" spans="1:6" x14ac:dyDescent="0.3">
      <c r="A41" s="20" t="s">
        <v>20</v>
      </c>
      <c r="B41" s="21"/>
      <c r="C41" s="22">
        <f>+$F$38</f>
        <v>9750</v>
      </c>
      <c r="D41" s="2">
        <f>+D40-C41</f>
        <v>-547325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BAQ-18458</v>
      </c>
    </row>
    <row r="45" spans="1:6" x14ac:dyDescent="0.3">
      <c r="A45" s="25" t="s">
        <v>21</v>
      </c>
      <c r="B45" s="26">
        <v>46158</v>
      </c>
    </row>
    <row r="46" spans="1:6" x14ac:dyDescent="0.3">
      <c r="A46" s="25" t="s">
        <v>12</v>
      </c>
      <c r="B46" s="27">
        <v>34579601</v>
      </c>
    </row>
    <row r="47" spans="1:6" x14ac:dyDescent="0.3">
      <c r="A47" s="47" t="str">
        <f>+IF($B$47&gt;0,"SALDO A FAVOR","SALDO A CARGO")</f>
        <v>SALDO A FAVOR</v>
      </c>
      <c r="B47" s="48">
        <f>+$B$20-$B$46</f>
        <v>132399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-679724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-679724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DO.CTG26-0133</v>
      </c>
      <c r="B58" s="39" t="str">
        <f>+$B$2</f>
        <v>BAQ-18458</v>
      </c>
      <c r="C58" s="56">
        <f>+$B$20</f>
        <v>34712000</v>
      </c>
      <c r="D58" s="57">
        <f>+$B$45</f>
        <v>46158</v>
      </c>
      <c r="E58" s="56">
        <f>+$B$46</f>
        <v>34579601</v>
      </c>
      <c r="F58" s="56">
        <f>+$B$47</f>
        <v>132399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-679724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161" priority="21">
      <formula>$E$23="PSE"</formula>
    </cfRule>
  </conditionalFormatting>
  <conditionalFormatting sqref="A24:C24">
    <cfRule type="expression" dxfId="160" priority="20">
      <formula>$E$24="PSE"</formula>
    </cfRule>
  </conditionalFormatting>
  <conditionalFormatting sqref="A25:C25">
    <cfRule type="expression" dxfId="159" priority="19">
      <formula>$E$25="PSE"</formula>
    </cfRule>
  </conditionalFormatting>
  <conditionalFormatting sqref="A26:C26">
    <cfRule type="expression" dxfId="158" priority="18">
      <formula>$E$26="PSE"</formula>
    </cfRule>
  </conditionalFormatting>
  <conditionalFormatting sqref="A27:C27">
    <cfRule type="expression" dxfId="157" priority="17">
      <formula>$E$27="PSE"</formula>
    </cfRule>
  </conditionalFormatting>
  <conditionalFormatting sqref="A28:C28">
    <cfRule type="expression" dxfId="156" priority="16">
      <formula>$E$28="PSE"</formula>
    </cfRule>
  </conditionalFormatting>
  <conditionalFormatting sqref="A29:C29">
    <cfRule type="expression" dxfId="155" priority="15">
      <formula>$E$29="PSE"</formula>
    </cfRule>
  </conditionalFormatting>
  <conditionalFormatting sqref="A30:C30">
    <cfRule type="expression" dxfId="154" priority="14">
      <formula>$E$30="PSE"</formula>
    </cfRule>
  </conditionalFormatting>
  <conditionalFormatting sqref="A31:C31">
    <cfRule type="expression" dxfId="153" priority="13">
      <formula>$E$31="PSE"</formula>
    </cfRule>
  </conditionalFormatting>
  <conditionalFormatting sqref="A32:C32">
    <cfRule type="expression" dxfId="152" priority="12">
      <formula>$E$32="PSE"</formula>
    </cfRule>
  </conditionalFormatting>
  <conditionalFormatting sqref="A33:C33">
    <cfRule type="expression" dxfId="151" priority="11">
      <formula>$E$33="PSE"</formula>
    </cfRule>
  </conditionalFormatting>
  <conditionalFormatting sqref="A34:C34">
    <cfRule type="expression" dxfId="150" priority="10">
      <formula>$E$34="PSE"</formula>
    </cfRule>
  </conditionalFormatting>
  <conditionalFormatting sqref="A35:C35">
    <cfRule type="expression" dxfId="149" priority="9">
      <formula>$E$35="PSE"</formula>
    </cfRule>
  </conditionalFormatting>
  <conditionalFormatting sqref="A36:C36">
    <cfRule type="expression" dxfId="148" priority="8">
      <formula>$E$36="PSE"</formula>
    </cfRule>
  </conditionalFormatting>
  <conditionalFormatting sqref="A37:C37">
    <cfRule type="expression" dxfId="147" priority="7">
      <formula>$E$37="PSE"</formula>
    </cfRule>
  </conditionalFormatting>
  <conditionalFormatting sqref="B51">
    <cfRule type="cellIs" dxfId="146" priority="22" operator="lessThan">
      <formula>0</formula>
    </cfRule>
    <cfRule type="cellIs" dxfId="145" priority="23" operator="greaterThan">
      <formula>0</formula>
    </cfRule>
  </conditionalFormatting>
  <conditionalFormatting sqref="B55">
    <cfRule type="cellIs" dxfId="144" priority="5" operator="greaterThan">
      <formula>0</formula>
    </cfRule>
    <cfRule type="cellIs" dxfId="143" priority="6" operator="lessThan">
      <formula>0</formula>
    </cfRule>
  </conditionalFormatting>
  <conditionalFormatting sqref="D23:D41 B47">
    <cfRule type="cellIs" dxfId="142" priority="24" operator="lessThan">
      <formula>0</formula>
    </cfRule>
    <cfRule type="cellIs" dxfId="141" priority="25" operator="greaterThan">
      <formula>0</formula>
    </cfRule>
  </conditionalFormatting>
  <conditionalFormatting sqref="F58">
    <cfRule type="cellIs" dxfId="140" priority="3" operator="lessThan">
      <formula>0</formula>
    </cfRule>
    <cfRule type="cellIs" dxfId="139" priority="4" operator="greaterThan">
      <formula>0</formula>
    </cfRule>
  </conditionalFormatting>
  <conditionalFormatting sqref="I58">
    <cfRule type="cellIs" dxfId="138" priority="1" operator="lessThan">
      <formula>0</formula>
    </cfRule>
    <cfRule type="cellIs" dxfId="137" priority="2" operator="greaterThan">
      <formula>0</formula>
    </cfRule>
  </conditionalFormatting>
  <dataValidations count="4">
    <dataValidation type="list" showInputMessage="1" showErrorMessage="1" sqref="B49" xr:uid="{F6569768-6508-478A-AEED-8E0D5F0CC272}">
      <formula1>$K$5:$K$14</formula1>
    </dataValidation>
    <dataValidation type="list" allowBlank="1" showInputMessage="1" showErrorMessage="1" sqref="B53" xr:uid="{ECF3CCCB-A4DB-4114-9D78-B7F93CE74163}">
      <formula1>$K$12:$K$14</formula1>
    </dataValidation>
    <dataValidation type="list" showInputMessage="1" showErrorMessage="1" sqref="E23:E37 E39:E41" xr:uid="{7A989EBF-8D71-4E28-AD88-4467F28D750A}">
      <formula1>$K$12:$K$14</formula1>
    </dataValidation>
    <dataValidation type="list" allowBlank="1" showInputMessage="1" showErrorMessage="1" sqref="C5:C17" xr:uid="{7F82C8E9-5D23-4587-87FC-B253BB26F7B8}">
      <formula1>$K$5:$K$10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C7594-6F63-4558-9B01-FF5C6040333D}">
  <dimension ref="A1:O58"/>
  <sheetViews>
    <sheetView topLeftCell="A18" workbookViewId="0">
      <selection activeCell="G29" sqref="G29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214</v>
      </c>
      <c r="B2" s="4" t="s">
        <v>254</v>
      </c>
      <c r="F2" s="28"/>
      <c r="G2" s="5" t="s">
        <v>24</v>
      </c>
      <c r="I2" s="5" t="str">
        <f>+$B$2</f>
        <v>BAQ-18485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46156</v>
      </c>
      <c r="B5" s="9">
        <v>35777500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35777500</v>
      </c>
      <c r="C20" s="6" t="s">
        <v>27</v>
      </c>
      <c r="D20" s="2">
        <f>+IF($A$47="SALDO A FAVOR",$B$20*0.004,($B$20+ABS($B$47))*0.004)</f>
        <v>149633.144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54</v>
      </c>
      <c r="B23" s="13" t="s">
        <v>215</v>
      </c>
      <c r="C23" s="14">
        <v>18179000</v>
      </c>
      <c r="D23" s="2">
        <f>+$B$20-C23</f>
        <v>17598500</v>
      </c>
      <c r="E23" s="2" t="s">
        <v>10</v>
      </c>
      <c r="F23" s="9" cm="1">
        <f t="array" ref="F23">+IF(E23=$K$11,0,_xlfn.IFS(E23=$K$12,$L$12,E23=$K$13,$L$13,E23=$K$14,$L$14))</f>
        <v>0</v>
      </c>
    </row>
    <row r="24" spans="1:8" x14ac:dyDescent="0.3">
      <c r="A24" s="12" t="s">
        <v>77</v>
      </c>
      <c r="B24" s="13" t="s">
        <v>216</v>
      </c>
      <c r="C24" s="14">
        <v>1134147.5</v>
      </c>
      <c r="D24" s="2">
        <f>+D23-C24</f>
        <v>16464352.5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75</v>
      </c>
      <c r="B25" s="13" t="s">
        <v>217</v>
      </c>
      <c r="C25" s="14">
        <v>5309665</v>
      </c>
      <c r="D25" s="2">
        <f t="shared" ref="D25:D40" si="0">+D24-C25</f>
        <v>11154687.5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50</v>
      </c>
      <c r="B26" s="13"/>
      <c r="C26" s="14">
        <v>1300000</v>
      </c>
      <c r="D26" s="2">
        <f t="shared" si="0"/>
        <v>9854687.5</v>
      </c>
      <c r="E26" s="2" t="s">
        <v>34</v>
      </c>
      <c r="F26" s="9" cm="1">
        <f t="array" ref="F26">+IF(E26=$K$11,0,_xlfn.IFS(E26=$K$12,$L$12,E26=$K$13,$L$13,E26=$K$14,$L$14))</f>
        <v>3900</v>
      </c>
    </row>
    <row r="27" spans="1:8" x14ac:dyDescent="0.3">
      <c r="A27" s="12" t="s">
        <v>65</v>
      </c>
      <c r="B27" s="13" t="s">
        <v>227</v>
      </c>
      <c r="C27" s="14">
        <v>7951162</v>
      </c>
      <c r="D27" s="2">
        <f t="shared" si="0"/>
        <v>1903525.5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132</v>
      </c>
      <c r="B28" s="13"/>
      <c r="C28" s="14">
        <v>600000</v>
      </c>
      <c r="D28" s="2">
        <f t="shared" si="0"/>
        <v>1303525.5</v>
      </c>
      <c r="E28" s="2" t="s">
        <v>34</v>
      </c>
      <c r="F28" s="9" cm="1">
        <f t="array" ref="F28">+IF(E28=$K$11,0,_xlfn.IFS(E28=$K$12,$L$12,E28=$K$13,$L$13,E28=$K$14,$L$14))</f>
        <v>3900</v>
      </c>
    </row>
    <row r="29" spans="1:8" x14ac:dyDescent="0.3">
      <c r="A29" s="12" t="s">
        <v>65</v>
      </c>
      <c r="B29" s="13" t="s">
        <v>252</v>
      </c>
      <c r="C29" s="14">
        <v>1261544</v>
      </c>
      <c r="D29" s="2">
        <f t="shared" si="0"/>
        <v>41981.5</v>
      </c>
      <c r="E29" s="2" t="s">
        <v>10</v>
      </c>
      <c r="F29" s="9" cm="1">
        <f t="array" ref="F29">+IF(E29=$K$11,0,_xlfn.IFS(E29=$K$12,$L$12,E29=$K$13,$L$13,E29=$K$14,$L$14))</f>
        <v>0</v>
      </c>
    </row>
    <row r="30" spans="1:8" x14ac:dyDescent="0.3">
      <c r="A30" s="12" t="s">
        <v>65</v>
      </c>
      <c r="B30" s="13" t="s">
        <v>253</v>
      </c>
      <c r="C30" s="14">
        <v>716624</v>
      </c>
      <c r="D30" s="2">
        <f t="shared" si="0"/>
        <v>-674642.5</v>
      </c>
      <c r="E30" s="2" t="s">
        <v>10</v>
      </c>
      <c r="F30" s="9" cm="1">
        <f t="array" ref="F30">+IF(E30=$K$11,0,_xlfn.IFS(E30=$K$12,$L$12,E30=$K$13,$L$13,E30=$K$14,$L$14))</f>
        <v>0</v>
      </c>
    </row>
    <row r="31" spans="1:8" x14ac:dyDescent="0.3">
      <c r="A31" s="12" t="s">
        <v>84</v>
      </c>
      <c r="B31" s="13"/>
      <c r="C31" s="14">
        <v>1200000</v>
      </c>
      <c r="D31" s="2">
        <f t="shared" si="0"/>
        <v>-1874642.5</v>
      </c>
      <c r="E31" s="2" t="s">
        <v>34</v>
      </c>
      <c r="F31" s="9" cm="1">
        <f t="array" ref="F31">+IF(E31=$K$11,0,_xlfn.IFS(E31=$K$12,$L$12,E31=$K$13,$L$13,E31=$K$14,$L$14))</f>
        <v>3900</v>
      </c>
    </row>
    <row r="32" spans="1:8" x14ac:dyDescent="0.3">
      <c r="A32" s="12"/>
      <c r="B32" s="13"/>
      <c r="C32" s="14"/>
      <c r="D32" s="2">
        <f t="shared" si="0"/>
        <v>-1874642.5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-1874642.5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-1874642.5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-1874642.5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-1874642.5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-1874642.5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BAQ-18485</v>
      </c>
      <c r="C38" s="16">
        <v>150000</v>
      </c>
      <c r="D38" s="2">
        <f t="shared" si="0"/>
        <v>-2024642.5</v>
      </c>
      <c r="E38" s="6" t="s">
        <v>12</v>
      </c>
      <c r="F38" s="9">
        <f>+SUM(F23:F37)+$D$18</f>
        <v>13650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-2100642.5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149633.144</v>
      </c>
      <c r="D40" s="2">
        <f t="shared" si="0"/>
        <v>-2250275.6439999999</v>
      </c>
      <c r="F40" s="9"/>
    </row>
    <row r="41" spans="1:6" x14ac:dyDescent="0.3">
      <c r="A41" s="20" t="s">
        <v>20</v>
      </c>
      <c r="B41" s="21"/>
      <c r="C41" s="22">
        <f>+$F$38</f>
        <v>13650</v>
      </c>
      <c r="D41" s="2">
        <f>+D40-C41</f>
        <v>-2263925.6439999999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BAQ-18485</v>
      </c>
    </row>
    <row r="45" spans="1:6" x14ac:dyDescent="0.3">
      <c r="A45" s="25" t="s">
        <v>21</v>
      </c>
      <c r="B45" s="26">
        <v>46171</v>
      </c>
    </row>
    <row r="46" spans="1:6" x14ac:dyDescent="0.3">
      <c r="A46" s="25" t="s">
        <v>12</v>
      </c>
      <c r="B46" s="27">
        <v>37408286</v>
      </c>
    </row>
    <row r="47" spans="1:6" x14ac:dyDescent="0.3">
      <c r="A47" s="47" t="str">
        <f>+IF($B$47&gt;0,"SALDO A FAVOR","SALDO A CARGO")</f>
        <v>SALDO A CARGO</v>
      </c>
      <c r="B47" s="48">
        <f>+$B$20-$B$46</f>
        <v>-1630786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RECAUDO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-2263925.6439999999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RECAUDO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-2263925.6439999999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DO.CTG26-0141</v>
      </c>
      <c r="B58" s="39" t="str">
        <f>+$B$2</f>
        <v>BAQ-18485</v>
      </c>
      <c r="C58" s="56">
        <f>+$B$20</f>
        <v>35777500</v>
      </c>
      <c r="D58" s="57">
        <f>+$B$45</f>
        <v>46171</v>
      </c>
      <c r="E58" s="56">
        <f>+$B$46</f>
        <v>37408286</v>
      </c>
      <c r="F58" s="56">
        <f>+$B$47</f>
        <v>-1630786</v>
      </c>
      <c r="G58" s="39" t="str">
        <f>+IF(F58&gt;0,"SALDO A FAVOR","SALDO A CARGO")</f>
        <v>SALDO A CARGO</v>
      </c>
      <c r="H58" s="58" t="str">
        <f>+$B$48</f>
        <v>X</v>
      </c>
      <c r="I58" s="55">
        <f>+$B$55</f>
        <v>-2263925.6439999999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136" priority="21">
      <formula>$E$23="PSE"</formula>
    </cfRule>
  </conditionalFormatting>
  <conditionalFormatting sqref="A24:C24">
    <cfRule type="expression" dxfId="135" priority="20">
      <formula>$E$24="PSE"</formula>
    </cfRule>
  </conditionalFormatting>
  <conditionalFormatting sqref="A25:C25">
    <cfRule type="expression" dxfId="134" priority="19">
      <formula>$E$25="PSE"</formula>
    </cfRule>
  </conditionalFormatting>
  <conditionalFormatting sqref="A26:C26">
    <cfRule type="expression" dxfId="133" priority="18">
      <formula>$E$26="PSE"</formula>
    </cfRule>
  </conditionalFormatting>
  <conditionalFormatting sqref="A27:C27">
    <cfRule type="expression" dxfId="132" priority="17">
      <formula>$E$27="PSE"</formula>
    </cfRule>
  </conditionalFormatting>
  <conditionalFormatting sqref="A28:C28">
    <cfRule type="expression" dxfId="131" priority="16">
      <formula>$E$28="PSE"</formula>
    </cfRule>
  </conditionalFormatting>
  <conditionalFormatting sqref="A29:C29">
    <cfRule type="expression" dxfId="130" priority="15">
      <formula>$E$29="PSE"</formula>
    </cfRule>
  </conditionalFormatting>
  <conditionalFormatting sqref="A30:C30">
    <cfRule type="expression" dxfId="129" priority="14">
      <formula>$E$30="PSE"</formula>
    </cfRule>
  </conditionalFormatting>
  <conditionalFormatting sqref="A31:C31">
    <cfRule type="expression" dxfId="128" priority="13">
      <formula>$E$31="PSE"</formula>
    </cfRule>
  </conditionalFormatting>
  <conditionalFormatting sqref="A32:C32">
    <cfRule type="expression" dxfId="127" priority="12">
      <formula>$E$32="PSE"</formula>
    </cfRule>
  </conditionalFormatting>
  <conditionalFormatting sqref="A33:C33">
    <cfRule type="expression" dxfId="126" priority="11">
      <formula>$E$33="PSE"</formula>
    </cfRule>
  </conditionalFormatting>
  <conditionalFormatting sqref="A34:C34">
    <cfRule type="expression" dxfId="125" priority="10">
      <formula>$E$34="PSE"</formula>
    </cfRule>
  </conditionalFormatting>
  <conditionalFormatting sqref="A35:C35">
    <cfRule type="expression" dxfId="124" priority="9">
      <formula>$E$35="PSE"</formula>
    </cfRule>
  </conditionalFormatting>
  <conditionalFormatting sqref="A36:C36">
    <cfRule type="expression" dxfId="123" priority="8">
      <formula>$E$36="PSE"</formula>
    </cfRule>
  </conditionalFormatting>
  <conditionalFormatting sqref="A37:C37">
    <cfRule type="expression" dxfId="122" priority="7">
      <formula>$E$37="PSE"</formula>
    </cfRule>
  </conditionalFormatting>
  <conditionalFormatting sqref="B51">
    <cfRule type="cellIs" dxfId="121" priority="22" operator="lessThan">
      <formula>0</formula>
    </cfRule>
    <cfRule type="cellIs" dxfId="120" priority="23" operator="greaterThan">
      <formula>0</formula>
    </cfRule>
  </conditionalFormatting>
  <conditionalFormatting sqref="B55">
    <cfRule type="cellIs" dxfId="119" priority="5" operator="greaterThan">
      <formula>0</formula>
    </cfRule>
    <cfRule type="cellIs" dxfId="118" priority="6" operator="lessThan">
      <formula>0</formula>
    </cfRule>
  </conditionalFormatting>
  <conditionalFormatting sqref="D23:D41 B47">
    <cfRule type="cellIs" dxfId="117" priority="24" operator="lessThan">
      <formula>0</formula>
    </cfRule>
    <cfRule type="cellIs" dxfId="116" priority="25" operator="greaterThan">
      <formula>0</formula>
    </cfRule>
  </conditionalFormatting>
  <conditionalFormatting sqref="F58">
    <cfRule type="cellIs" dxfId="115" priority="3" operator="lessThan">
      <formula>0</formula>
    </cfRule>
    <cfRule type="cellIs" dxfId="114" priority="4" operator="greaterThan">
      <formula>0</formula>
    </cfRule>
  </conditionalFormatting>
  <conditionalFormatting sqref="I58">
    <cfRule type="cellIs" dxfId="113" priority="1" operator="lessThan">
      <formula>0</formula>
    </cfRule>
    <cfRule type="cellIs" dxfId="112" priority="2" operator="greaterThan">
      <formula>0</formula>
    </cfRule>
  </conditionalFormatting>
  <dataValidations count="4">
    <dataValidation type="list" showInputMessage="1" showErrorMessage="1" sqref="B49" xr:uid="{6FF4DC0F-B0DF-4468-80C0-DE75508F2CD2}">
      <formula1>$K$5:$K$14</formula1>
    </dataValidation>
    <dataValidation type="list" allowBlank="1" showInputMessage="1" showErrorMessage="1" sqref="B53" xr:uid="{71715F78-FBCA-4AC3-8053-89504ECFFA54}">
      <formula1>$K$12:$K$14</formula1>
    </dataValidation>
    <dataValidation type="list" showInputMessage="1" showErrorMessage="1" sqref="E23:E37 E39:E41" xr:uid="{5ED02DBB-6979-4180-841E-94913671616C}">
      <formula1>$K$12:$K$14</formula1>
    </dataValidation>
    <dataValidation type="list" allowBlank="1" showInputMessage="1" showErrorMessage="1" sqref="C5:C17" xr:uid="{77E987E0-CC79-4F9B-87C2-0E0D0B585B06}">
      <formula1>$K$5:$K$10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FFA04-C9C7-4424-AE88-1CC1E0F0F436}">
  <dimension ref="A1:O58"/>
  <sheetViews>
    <sheetView topLeftCell="A18" workbookViewId="0">
      <selection activeCell="B33" sqref="B33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218</v>
      </c>
      <c r="B2" s="4" t="s">
        <v>255</v>
      </c>
      <c r="F2" s="28"/>
      <c r="G2" s="5" t="s">
        <v>24</v>
      </c>
      <c r="I2" s="5" t="str">
        <f>+$B$2</f>
        <v>BAQ-18486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46156</v>
      </c>
      <c r="B5" s="9">
        <v>36379500</v>
      </c>
      <c r="C5" s="9"/>
      <c r="D5" s="9" cm="1">
        <f t="array" ref="D5">+IF(C5=$K$7,0,_xlfn.IFS(C5=$K$5,$L$5,C5=$K$6,$L$6,C5=$K$8,$L$8,C5=$K$9,$L$9,C5=$K$10,$L$10))</f>
        <v>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36379500</v>
      </c>
      <c r="C20" s="6" t="s">
        <v>27</v>
      </c>
      <c r="D20" s="2">
        <f>+IF($A$47="SALDO A FAVOR",$B$20*0.004,($B$20+ABS($B$47))*0.004)</f>
        <v>151337.03200000001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54</v>
      </c>
      <c r="B23" s="13" t="s">
        <v>219</v>
      </c>
      <c r="C23" s="14">
        <v>18906000</v>
      </c>
      <c r="D23" s="2">
        <f>+$B$20-C23</f>
        <v>17473500</v>
      </c>
      <c r="E23" s="2" t="s">
        <v>10</v>
      </c>
      <c r="F23" s="9" cm="1">
        <f t="array" ref="F23">+IF(E23=$K$11,0,_xlfn.IFS(E23=$K$12,$L$12,E23=$K$13,$L$13,E23=$K$14,$L$14))</f>
        <v>0</v>
      </c>
    </row>
    <row r="24" spans="1:8" x14ac:dyDescent="0.3">
      <c r="A24" s="12" t="s">
        <v>77</v>
      </c>
      <c r="B24" s="13" t="s">
        <v>216</v>
      </c>
      <c r="C24" s="14">
        <v>1134147.5</v>
      </c>
      <c r="D24" s="2">
        <f>+D23-C24</f>
        <v>16339352.5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75</v>
      </c>
      <c r="B25" s="13" t="s">
        <v>220</v>
      </c>
      <c r="C25" s="14">
        <v>5309665</v>
      </c>
      <c r="D25" s="2">
        <f t="shared" ref="D25:D40" si="0">+D24-C25</f>
        <v>11029687.5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50</v>
      </c>
      <c r="B26" s="13"/>
      <c r="C26" s="14">
        <v>1300000</v>
      </c>
      <c r="D26" s="2">
        <f t="shared" si="0"/>
        <v>9729687.5</v>
      </c>
      <c r="E26" s="2" t="s">
        <v>34</v>
      </c>
      <c r="F26" s="9" cm="1">
        <f t="array" ref="F26">+IF(E26=$K$11,0,_xlfn.IFS(E26=$K$12,$L$12,E26=$K$13,$L$13,E26=$K$14,$L$14))</f>
        <v>3900</v>
      </c>
    </row>
    <row r="27" spans="1:8" x14ac:dyDescent="0.3">
      <c r="A27" s="12" t="s">
        <v>132</v>
      </c>
      <c r="B27" s="13"/>
      <c r="C27" s="14">
        <v>600000</v>
      </c>
      <c r="D27" s="2">
        <f t="shared" si="0"/>
        <v>9129687.5</v>
      </c>
      <c r="E27" s="2" t="s">
        <v>34</v>
      </c>
      <c r="F27" s="9" cm="1">
        <f t="array" ref="F27">+IF(E27=$K$11,0,_xlfn.IFS(E27=$K$12,$L$12,E27=$K$13,$L$13,E27=$K$14,$L$14))</f>
        <v>3900</v>
      </c>
    </row>
    <row r="28" spans="1:8" x14ac:dyDescent="0.3">
      <c r="A28" s="12" t="s">
        <v>65</v>
      </c>
      <c r="B28" s="13" t="s">
        <v>230</v>
      </c>
      <c r="C28" s="14">
        <v>8365062</v>
      </c>
      <c r="D28" s="2">
        <f t="shared" si="0"/>
        <v>764625.5</v>
      </c>
      <c r="E28" s="2" t="s">
        <v>10</v>
      </c>
      <c r="F28" s="9" cm="1">
        <f t="array" ref="F28">+IF(E28=$K$11,0,_xlfn.IFS(E28=$K$12,$L$12,E28=$K$13,$L$13,E28=$K$14,$L$14))</f>
        <v>0</v>
      </c>
    </row>
    <row r="29" spans="1:8" x14ac:dyDescent="0.3">
      <c r="A29" s="12" t="s">
        <v>65</v>
      </c>
      <c r="B29" s="13" t="s">
        <v>231</v>
      </c>
      <c r="C29" s="14">
        <v>1261544</v>
      </c>
      <c r="D29" s="2">
        <f t="shared" si="0"/>
        <v>-496918.5</v>
      </c>
      <c r="E29" s="2" t="s">
        <v>10</v>
      </c>
      <c r="F29" s="9" cm="1">
        <f t="array" ref="F29">+IF(E29=$K$11,0,_xlfn.IFS(E29=$K$12,$L$12,E29=$K$13,$L$13,E29=$K$14,$L$14))</f>
        <v>0</v>
      </c>
    </row>
    <row r="30" spans="1:8" x14ac:dyDescent="0.3">
      <c r="A30" s="12" t="s">
        <v>84</v>
      </c>
      <c r="B30" s="13"/>
      <c r="C30" s="14">
        <v>1200000</v>
      </c>
      <c r="D30" s="2">
        <f t="shared" si="0"/>
        <v>-1696918.5</v>
      </c>
      <c r="E30" s="2" t="s">
        <v>34</v>
      </c>
      <c r="F30" s="9" cm="1">
        <f t="array" ref="F30">+IF(E30=$K$11,0,_xlfn.IFS(E30=$K$12,$L$12,E30=$K$13,$L$13,E30=$K$14,$L$14))</f>
        <v>3900</v>
      </c>
    </row>
    <row r="31" spans="1:8" x14ac:dyDescent="0.3">
      <c r="A31" s="12"/>
      <c r="B31" s="13"/>
      <c r="C31" s="14"/>
      <c r="D31" s="2">
        <f t="shared" si="0"/>
        <v>-1696918.5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-1696918.5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-1696918.5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-1696918.5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-1696918.5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-1696918.5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-1696918.5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BAQ-18486</v>
      </c>
      <c r="C38" s="16">
        <v>150000</v>
      </c>
      <c r="D38" s="2">
        <f t="shared" si="0"/>
        <v>-1846918.5</v>
      </c>
      <c r="E38" s="6" t="s">
        <v>12</v>
      </c>
      <c r="F38" s="9">
        <f>+SUM(F23:F37)+$D$18</f>
        <v>11700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-1922918.5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151337.03200000001</v>
      </c>
      <c r="D40" s="2">
        <f t="shared" si="0"/>
        <v>-2074255.5320000001</v>
      </c>
      <c r="F40" s="9"/>
    </row>
    <row r="41" spans="1:6" x14ac:dyDescent="0.3">
      <c r="A41" s="20" t="s">
        <v>20</v>
      </c>
      <c r="B41" s="21"/>
      <c r="C41" s="22">
        <f>+$F$38</f>
        <v>11700</v>
      </c>
      <c r="D41" s="2">
        <f>+D40-C41</f>
        <v>-2085955.5320000001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BAQ-18486</v>
      </c>
    </row>
    <row r="45" spans="1:6" x14ac:dyDescent="0.3">
      <c r="A45" s="25" t="s">
        <v>21</v>
      </c>
      <c r="B45" s="26">
        <v>46171</v>
      </c>
    </row>
    <row r="46" spans="1:6" x14ac:dyDescent="0.3">
      <c r="A46" s="25" t="s">
        <v>12</v>
      </c>
      <c r="B46" s="27">
        <v>37834258</v>
      </c>
    </row>
    <row r="47" spans="1:6" x14ac:dyDescent="0.3">
      <c r="A47" s="47" t="str">
        <f>+IF($B$47&gt;0,"SALDO A FAVOR","SALDO A CARGO")</f>
        <v>SALDO A CARGO</v>
      </c>
      <c r="B47" s="48">
        <f>+$B$20-$B$46</f>
        <v>-1454758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RECAUDO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-2085955.5320000001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RECAUDO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-2085955.5320000001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DO.CTG26-0142</v>
      </c>
      <c r="B58" s="39" t="str">
        <f>+$B$2</f>
        <v>BAQ-18486</v>
      </c>
      <c r="C58" s="56">
        <f>+$B$20</f>
        <v>36379500</v>
      </c>
      <c r="D58" s="57">
        <f>+$B$45</f>
        <v>46171</v>
      </c>
      <c r="E58" s="56">
        <f>+$B$46</f>
        <v>37834258</v>
      </c>
      <c r="F58" s="56">
        <f>+$B$47</f>
        <v>-1454758</v>
      </c>
      <c r="G58" s="39" t="str">
        <f>+IF(F58&gt;0,"SALDO A FAVOR","SALDO A CARGO")</f>
        <v>SALDO A CARGO</v>
      </c>
      <c r="H58" s="58" t="str">
        <f>+$B$48</f>
        <v>X</v>
      </c>
      <c r="I58" s="55">
        <f>+$B$55</f>
        <v>-2085955.5320000001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111" priority="21">
      <formula>$E$23="PSE"</formula>
    </cfRule>
  </conditionalFormatting>
  <conditionalFormatting sqref="A24:C24">
    <cfRule type="expression" dxfId="110" priority="20">
      <formula>$E$24="PSE"</formula>
    </cfRule>
  </conditionalFormatting>
  <conditionalFormatting sqref="A25:C25">
    <cfRule type="expression" dxfId="109" priority="19">
      <formula>$E$25="PSE"</formula>
    </cfRule>
  </conditionalFormatting>
  <conditionalFormatting sqref="A26:C26">
    <cfRule type="expression" dxfId="108" priority="18">
      <formula>$E$26="PSE"</formula>
    </cfRule>
  </conditionalFormatting>
  <conditionalFormatting sqref="A27:C27">
    <cfRule type="expression" dxfId="107" priority="17">
      <formula>$E$27="PSE"</formula>
    </cfRule>
  </conditionalFormatting>
  <conditionalFormatting sqref="A28:C28">
    <cfRule type="expression" dxfId="106" priority="16">
      <formula>$E$28="PSE"</formula>
    </cfRule>
  </conditionalFormatting>
  <conditionalFormatting sqref="A29:C29">
    <cfRule type="expression" dxfId="105" priority="15">
      <formula>$E$29="PSE"</formula>
    </cfRule>
  </conditionalFormatting>
  <conditionalFormatting sqref="A30:C30">
    <cfRule type="expression" dxfId="104" priority="14">
      <formula>$E$30="PSE"</formula>
    </cfRule>
  </conditionalFormatting>
  <conditionalFormatting sqref="A31:C31">
    <cfRule type="expression" dxfId="103" priority="13">
      <formula>$E$31="PSE"</formula>
    </cfRule>
  </conditionalFormatting>
  <conditionalFormatting sqref="A32:C32">
    <cfRule type="expression" dxfId="102" priority="12">
      <formula>$E$32="PSE"</formula>
    </cfRule>
  </conditionalFormatting>
  <conditionalFormatting sqref="A33:C33">
    <cfRule type="expression" dxfId="101" priority="11">
      <formula>$E$33="PSE"</formula>
    </cfRule>
  </conditionalFormatting>
  <conditionalFormatting sqref="A34:C34">
    <cfRule type="expression" dxfId="100" priority="10">
      <formula>$E$34="PSE"</formula>
    </cfRule>
  </conditionalFormatting>
  <conditionalFormatting sqref="A35:C35">
    <cfRule type="expression" dxfId="99" priority="9">
      <formula>$E$35="PSE"</formula>
    </cfRule>
  </conditionalFormatting>
  <conditionalFormatting sqref="A36:C36">
    <cfRule type="expression" dxfId="98" priority="8">
      <formula>$E$36="PSE"</formula>
    </cfRule>
  </conditionalFormatting>
  <conditionalFormatting sqref="A37:C37">
    <cfRule type="expression" dxfId="97" priority="7">
      <formula>$E$37="PSE"</formula>
    </cfRule>
  </conditionalFormatting>
  <conditionalFormatting sqref="B51">
    <cfRule type="cellIs" dxfId="96" priority="22" operator="lessThan">
      <formula>0</formula>
    </cfRule>
    <cfRule type="cellIs" dxfId="95" priority="23" operator="greaterThan">
      <formula>0</formula>
    </cfRule>
  </conditionalFormatting>
  <conditionalFormatting sqref="B55">
    <cfRule type="cellIs" dxfId="94" priority="5" operator="greaterThan">
      <formula>0</formula>
    </cfRule>
    <cfRule type="cellIs" dxfId="93" priority="6" operator="lessThan">
      <formula>0</formula>
    </cfRule>
  </conditionalFormatting>
  <conditionalFormatting sqref="D23:D41 B47">
    <cfRule type="cellIs" dxfId="92" priority="24" operator="lessThan">
      <formula>0</formula>
    </cfRule>
    <cfRule type="cellIs" dxfId="91" priority="25" operator="greaterThan">
      <formula>0</formula>
    </cfRule>
  </conditionalFormatting>
  <conditionalFormatting sqref="F58">
    <cfRule type="cellIs" dxfId="90" priority="3" operator="lessThan">
      <formula>0</formula>
    </cfRule>
    <cfRule type="cellIs" dxfId="89" priority="4" operator="greaterThan">
      <formula>0</formula>
    </cfRule>
  </conditionalFormatting>
  <conditionalFormatting sqref="I58">
    <cfRule type="cellIs" dxfId="88" priority="1" operator="lessThan">
      <formula>0</formula>
    </cfRule>
    <cfRule type="cellIs" dxfId="87" priority="2" operator="greaterThan">
      <formula>0</formula>
    </cfRule>
  </conditionalFormatting>
  <dataValidations count="4">
    <dataValidation type="list" allowBlank="1" showInputMessage="1" showErrorMessage="1" sqref="C5:C17" xr:uid="{A397BFDB-0984-4EE7-896E-642E861C020E}">
      <formula1>$K$5:$K$10</formula1>
    </dataValidation>
    <dataValidation type="list" showInputMessage="1" showErrorMessage="1" sqref="E23:E37 E39:E41" xr:uid="{B25736ED-EDD2-4939-8819-03E7A84FEF67}">
      <formula1>$K$12:$K$14</formula1>
    </dataValidation>
    <dataValidation type="list" allowBlank="1" showInputMessage="1" showErrorMessage="1" sqref="B53" xr:uid="{48600279-F09D-436D-88AE-2DB2D5AF378D}">
      <formula1>$K$12:$K$14</formula1>
    </dataValidation>
    <dataValidation type="list" showInputMessage="1" showErrorMessage="1" sqref="B49" xr:uid="{D1A84C33-3B4D-47BC-A247-B8FFF23B9069}">
      <formula1>$K$5:$K$14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9A917-4C53-419F-9543-83BB2B509600}">
  <dimension ref="A1:O58"/>
  <sheetViews>
    <sheetView workbookViewId="0">
      <selection activeCell="E32" sqref="E32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232</v>
      </c>
      <c r="B2" s="4" t="s">
        <v>257</v>
      </c>
      <c r="F2" s="28"/>
      <c r="G2" s="5" t="s">
        <v>24</v>
      </c>
      <c r="I2" s="5" t="str">
        <f>+$B$2</f>
        <v>BAQ-18488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46161</v>
      </c>
      <c r="B5" s="9">
        <v>35248000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35248000</v>
      </c>
      <c r="C20" s="6" t="s">
        <v>27</v>
      </c>
      <c r="D20" s="2">
        <f>+IF($A$47="SALDO A FAVOR",$B$20*0.004,($B$20+ABS($B$47))*0.004)</f>
        <v>140992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77</v>
      </c>
      <c r="B23" s="13" t="s">
        <v>236</v>
      </c>
      <c r="C23" s="14">
        <v>1134733</v>
      </c>
      <c r="D23" s="2">
        <f>+$B$20-C23</f>
        <v>34113267</v>
      </c>
      <c r="E23" s="2" t="s">
        <v>10</v>
      </c>
      <c r="F23" s="9" cm="1">
        <f t="array" ref="F23">+IF(E23=$K$11,0,_xlfn.IFS(E23=$K$12,$L$12,E23=$K$13,$L$13,E23=$K$14,$L$14))</f>
        <v>0</v>
      </c>
    </row>
    <row r="24" spans="1:8" x14ac:dyDescent="0.3">
      <c r="A24" s="12" t="s">
        <v>75</v>
      </c>
      <c r="B24" s="13" t="s">
        <v>237</v>
      </c>
      <c r="C24" s="14">
        <v>5309825</v>
      </c>
      <c r="D24" s="2">
        <f>+D23-C24</f>
        <v>28803442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50</v>
      </c>
      <c r="B25" s="13"/>
      <c r="C25" s="14">
        <v>1200000</v>
      </c>
      <c r="D25" s="2">
        <f t="shared" ref="D25:D40" si="0">+D24-C25</f>
        <v>27603442</v>
      </c>
      <c r="E25" s="2" t="s">
        <v>34</v>
      </c>
      <c r="F25" s="9" cm="1">
        <f t="array" ref="F25">+IF(E25=$K$11,0,_xlfn.IFS(E25=$K$12,$L$12,E25=$K$13,$L$13,E25=$K$14,$L$14))</f>
        <v>3900</v>
      </c>
    </row>
    <row r="26" spans="1:8" x14ac:dyDescent="0.3">
      <c r="A26" s="12" t="s">
        <v>54</v>
      </c>
      <c r="B26" s="13" t="s">
        <v>238</v>
      </c>
      <c r="C26" s="14">
        <v>16639000</v>
      </c>
      <c r="D26" s="2">
        <f t="shared" si="0"/>
        <v>10964442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239</v>
      </c>
      <c r="B27" s="13"/>
      <c r="C27" s="14">
        <v>600000</v>
      </c>
      <c r="D27" s="2">
        <f t="shared" si="0"/>
        <v>10364442</v>
      </c>
      <c r="E27" s="2" t="s">
        <v>34</v>
      </c>
      <c r="F27" s="9" cm="1">
        <f t="array" ref="F27">+IF(E27=$K$11,0,_xlfn.IFS(E27=$K$12,$L$12,E27=$K$13,$L$13,E27=$K$14,$L$14))</f>
        <v>3900</v>
      </c>
    </row>
    <row r="28" spans="1:8" x14ac:dyDescent="0.3">
      <c r="A28" s="12" t="s">
        <v>65</v>
      </c>
      <c r="B28" s="13" t="s">
        <v>240</v>
      </c>
      <c r="C28" s="14">
        <v>7795986</v>
      </c>
      <c r="D28" s="2">
        <f t="shared" si="0"/>
        <v>2568456</v>
      </c>
      <c r="E28" s="2" t="s">
        <v>10</v>
      </c>
      <c r="F28" s="9" cm="1">
        <f t="array" ref="F28">+IF(E28=$K$11,0,_xlfn.IFS(E28=$K$12,$L$12,E28=$K$13,$L$13,E28=$K$14,$L$14))</f>
        <v>0</v>
      </c>
    </row>
    <row r="29" spans="1:8" x14ac:dyDescent="0.3">
      <c r="A29" s="12" t="s">
        <v>242</v>
      </c>
      <c r="B29" s="13" t="s">
        <v>241</v>
      </c>
      <c r="C29" s="14">
        <v>743367</v>
      </c>
      <c r="D29" s="2">
        <f t="shared" si="0"/>
        <v>1825089</v>
      </c>
      <c r="E29" s="2" t="s">
        <v>34</v>
      </c>
      <c r="F29" s="9" cm="1">
        <f t="array" ref="F29">+IF(E29=$K$11,0,_xlfn.IFS(E29=$K$12,$L$12,E29=$K$13,$L$13,E29=$K$14,$L$14))</f>
        <v>3900</v>
      </c>
    </row>
    <row r="30" spans="1:8" x14ac:dyDescent="0.3">
      <c r="A30" s="12" t="s">
        <v>65</v>
      </c>
      <c r="B30" s="13" t="s">
        <v>243</v>
      </c>
      <c r="C30" s="14">
        <v>743367</v>
      </c>
      <c r="D30" s="2">
        <f t="shared" si="0"/>
        <v>1081722</v>
      </c>
      <c r="E30" s="2" t="s">
        <v>10</v>
      </c>
      <c r="F30" s="9" cm="1">
        <f t="array" ref="F30">+IF(E30=$K$11,0,_xlfn.IFS(E30=$K$12,$L$12,E30=$K$13,$L$13,E30=$K$14,$L$14))</f>
        <v>0</v>
      </c>
    </row>
    <row r="31" spans="1:8" x14ac:dyDescent="0.3">
      <c r="A31" s="12" t="s">
        <v>84</v>
      </c>
      <c r="B31" s="13"/>
      <c r="C31" s="14">
        <v>1350000</v>
      </c>
      <c r="D31" s="2">
        <f t="shared" si="0"/>
        <v>-268278</v>
      </c>
      <c r="E31" s="2" t="s">
        <v>34</v>
      </c>
      <c r="F31" s="9" cm="1">
        <f t="array" ref="F31">+IF(E31=$K$11,0,_xlfn.IFS(E31=$K$12,$L$12,E31=$K$13,$L$13,E31=$K$14,$L$14))</f>
        <v>3900</v>
      </c>
    </row>
    <row r="32" spans="1:8" x14ac:dyDescent="0.3">
      <c r="A32" s="12"/>
      <c r="B32" s="13"/>
      <c r="C32" s="14"/>
      <c r="D32" s="2">
        <f t="shared" si="0"/>
        <v>-268278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-268278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-268278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-268278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-268278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-268278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BAQ-18488</v>
      </c>
      <c r="C38" s="16">
        <v>150000</v>
      </c>
      <c r="D38" s="2">
        <f t="shared" si="0"/>
        <v>-418278</v>
      </c>
      <c r="E38" s="6" t="s">
        <v>12</v>
      </c>
      <c r="F38" s="9">
        <f>+SUM(F23:F37)+$D$18</f>
        <v>17550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-494278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140992</v>
      </c>
      <c r="D40" s="2">
        <f t="shared" si="0"/>
        <v>-635270</v>
      </c>
      <c r="F40" s="9"/>
    </row>
    <row r="41" spans="1:6" x14ac:dyDescent="0.3">
      <c r="A41" s="20" t="s">
        <v>20</v>
      </c>
      <c r="B41" s="21"/>
      <c r="C41" s="22">
        <f>+$F$38</f>
        <v>17550</v>
      </c>
      <c r="D41" s="2">
        <f>+D40-C41</f>
        <v>-652820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BAQ-18488</v>
      </c>
    </row>
    <row r="45" spans="1:6" x14ac:dyDescent="0.3">
      <c r="A45" s="25" t="s">
        <v>21</v>
      </c>
      <c r="B45" s="26">
        <v>46171</v>
      </c>
    </row>
    <row r="46" spans="1:6" x14ac:dyDescent="0.3">
      <c r="A46" s="25" t="s">
        <v>12</v>
      </c>
      <c r="B46" s="27">
        <v>35070330</v>
      </c>
    </row>
    <row r="47" spans="1:6" x14ac:dyDescent="0.3">
      <c r="A47" s="47" t="str">
        <f>+IF($B$47&gt;0,"SALDO A FAVOR","SALDO A CARGO")</f>
        <v>SALDO A FAVOR</v>
      </c>
      <c r="B47" s="48">
        <f>+$B$20-$B$46</f>
        <v>177670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-830490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-830490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DO.CTG26-0150</v>
      </c>
      <c r="B58" s="39" t="str">
        <f>+$B$2</f>
        <v>BAQ-18488</v>
      </c>
      <c r="C58" s="56">
        <f>+$B$20</f>
        <v>35248000</v>
      </c>
      <c r="D58" s="57">
        <f>+$B$45</f>
        <v>46171</v>
      </c>
      <c r="E58" s="56">
        <f>+$B$46</f>
        <v>35070330</v>
      </c>
      <c r="F58" s="56">
        <f>+$B$47</f>
        <v>177670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-830490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86" priority="21">
      <formula>$E$23="PSE"</formula>
    </cfRule>
  </conditionalFormatting>
  <conditionalFormatting sqref="A24:C24">
    <cfRule type="expression" dxfId="85" priority="20">
      <formula>$E$24="PSE"</formula>
    </cfRule>
  </conditionalFormatting>
  <conditionalFormatting sqref="A25:C25">
    <cfRule type="expression" dxfId="84" priority="19">
      <formula>$E$25="PSE"</formula>
    </cfRule>
  </conditionalFormatting>
  <conditionalFormatting sqref="A26:C26">
    <cfRule type="expression" dxfId="83" priority="18">
      <formula>$E$26="PSE"</formula>
    </cfRule>
  </conditionalFormatting>
  <conditionalFormatting sqref="A27:C27">
    <cfRule type="expression" dxfId="82" priority="17">
      <formula>$E$27="PSE"</formula>
    </cfRule>
  </conditionalFormatting>
  <conditionalFormatting sqref="A28:C28">
    <cfRule type="expression" dxfId="81" priority="16">
      <formula>$E$28="PSE"</formula>
    </cfRule>
  </conditionalFormatting>
  <conditionalFormatting sqref="A29:C29">
    <cfRule type="expression" dxfId="80" priority="15">
      <formula>$E$29="PSE"</formula>
    </cfRule>
  </conditionalFormatting>
  <conditionalFormatting sqref="A30:C30">
    <cfRule type="expression" dxfId="79" priority="14">
      <formula>$E$30="PSE"</formula>
    </cfRule>
  </conditionalFormatting>
  <conditionalFormatting sqref="A31:C31">
    <cfRule type="expression" dxfId="78" priority="13">
      <formula>$E$31="PSE"</formula>
    </cfRule>
  </conditionalFormatting>
  <conditionalFormatting sqref="A32:C32">
    <cfRule type="expression" dxfId="77" priority="12">
      <formula>$E$32="PSE"</formula>
    </cfRule>
  </conditionalFormatting>
  <conditionalFormatting sqref="A33:C33">
    <cfRule type="expression" dxfId="76" priority="11">
      <formula>$E$33="PSE"</formula>
    </cfRule>
  </conditionalFormatting>
  <conditionalFormatting sqref="A34:C34">
    <cfRule type="expression" dxfId="75" priority="10">
      <formula>$E$34="PSE"</formula>
    </cfRule>
  </conditionalFormatting>
  <conditionalFormatting sqref="A35:C35">
    <cfRule type="expression" dxfId="74" priority="9">
      <formula>$E$35="PSE"</formula>
    </cfRule>
  </conditionalFormatting>
  <conditionalFormatting sqref="A36:C36">
    <cfRule type="expression" dxfId="73" priority="8">
      <formula>$E$36="PSE"</formula>
    </cfRule>
  </conditionalFormatting>
  <conditionalFormatting sqref="A37:C37">
    <cfRule type="expression" dxfId="72" priority="7">
      <formula>$E$37="PSE"</formula>
    </cfRule>
  </conditionalFormatting>
  <conditionalFormatting sqref="B51">
    <cfRule type="cellIs" dxfId="71" priority="22" operator="lessThan">
      <formula>0</formula>
    </cfRule>
    <cfRule type="cellIs" dxfId="70" priority="23" operator="greaterThan">
      <formula>0</formula>
    </cfRule>
  </conditionalFormatting>
  <conditionalFormatting sqref="B55">
    <cfRule type="cellIs" dxfId="69" priority="5" operator="greaterThan">
      <formula>0</formula>
    </cfRule>
    <cfRule type="cellIs" dxfId="68" priority="6" operator="lessThan">
      <formula>0</formula>
    </cfRule>
  </conditionalFormatting>
  <conditionalFormatting sqref="D23:D41 B47">
    <cfRule type="cellIs" dxfId="67" priority="24" operator="lessThan">
      <formula>0</formula>
    </cfRule>
    <cfRule type="cellIs" dxfId="66" priority="25" operator="greaterThan">
      <formula>0</formula>
    </cfRule>
  </conditionalFormatting>
  <conditionalFormatting sqref="F58">
    <cfRule type="cellIs" dxfId="65" priority="3" operator="lessThan">
      <formula>0</formula>
    </cfRule>
    <cfRule type="cellIs" dxfId="64" priority="4" operator="greaterThan">
      <formula>0</formula>
    </cfRule>
  </conditionalFormatting>
  <conditionalFormatting sqref="I58">
    <cfRule type="cellIs" dxfId="63" priority="1" operator="lessThan">
      <formula>0</formula>
    </cfRule>
    <cfRule type="cellIs" dxfId="62" priority="2" operator="greaterThan">
      <formula>0</formula>
    </cfRule>
  </conditionalFormatting>
  <dataValidations count="4">
    <dataValidation type="list" showInputMessage="1" showErrorMessage="1" sqref="B49" xr:uid="{B4A5E345-6BA3-4058-B259-6C422C858F40}">
      <formula1>$K$5:$K$14</formula1>
    </dataValidation>
    <dataValidation type="list" allowBlank="1" showInputMessage="1" showErrorMessage="1" sqref="B53" xr:uid="{915B67EA-1229-45BB-AC37-ED14C84204EE}">
      <formula1>$K$12:$K$14</formula1>
    </dataValidation>
    <dataValidation type="list" showInputMessage="1" showErrorMessage="1" sqref="E23:E37 E39:E41" xr:uid="{AA70AED3-B4C6-4B91-8591-67DBEE3F2E33}">
      <formula1>$K$12:$K$14</formula1>
    </dataValidation>
    <dataValidation type="list" allowBlank="1" showInputMessage="1" showErrorMessage="1" sqref="C5:C17" xr:uid="{FB314ED3-7F91-458C-B541-D10D2E0C42D2}">
      <formula1>$K$5:$K$10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5404A-D075-4B11-AF17-5C94D29D82C0}">
  <dimension ref="A1:O58"/>
  <sheetViews>
    <sheetView topLeftCell="A12" workbookViewId="0">
      <selection activeCell="E30" sqref="E30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235</v>
      </c>
      <c r="B2" s="4" t="s">
        <v>256</v>
      </c>
      <c r="F2" s="28"/>
      <c r="G2" s="5" t="s">
        <v>24</v>
      </c>
      <c r="I2" s="5" t="str">
        <f>+$B$2</f>
        <v>BAQ-18487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46161</v>
      </c>
      <c r="B5" s="9">
        <v>36252000</v>
      </c>
      <c r="C5" s="9"/>
      <c r="D5" s="9" cm="1">
        <f t="array" ref="D5">+IF(C5=$K$7,0,_xlfn.IFS(C5=$K$5,$L$5,C5=$K$6,$L$6,C5=$K$8,$L$8,C5=$K$9,$L$9,C5=$K$10,$L$10))</f>
        <v>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36252000</v>
      </c>
      <c r="C20" s="6" t="s">
        <v>27</v>
      </c>
      <c r="D20" s="2">
        <f>+IF($A$47="SALDO A FAVOR",$B$20*0.004,($B$20+ABS($B$47))*0.004)</f>
        <v>145008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77</v>
      </c>
      <c r="B23" s="13" t="s">
        <v>244</v>
      </c>
      <c r="C23" s="14">
        <v>1134733</v>
      </c>
      <c r="D23" s="2">
        <f>+$B$20-C23</f>
        <v>35117267</v>
      </c>
      <c r="E23" s="2" t="s">
        <v>10</v>
      </c>
      <c r="F23" s="9" cm="1">
        <f t="array" ref="F23">+IF(E23=$K$11,0,_xlfn.IFS(E23=$K$12,$L$12,E23=$K$13,$L$13,E23=$K$14,$L$14))</f>
        <v>0</v>
      </c>
    </row>
    <row r="24" spans="1:8" x14ac:dyDescent="0.3">
      <c r="A24" s="12" t="s">
        <v>75</v>
      </c>
      <c r="B24" s="13" t="s">
        <v>245</v>
      </c>
      <c r="C24" s="14">
        <v>5309825</v>
      </c>
      <c r="D24" s="2">
        <f>+D23-C24</f>
        <v>29807442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50</v>
      </c>
      <c r="B25" s="13"/>
      <c r="C25" s="14">
        <v>1200000</v>
      </c>
      <c r="D25" s="2">
        <f t="shared" ref="D25:D40" si="0">+D24-C25</f>
        <v>28607442</v>
      </c>
      <c r="E25" s="2" t="s">
        <v>34</v>
      </c>
      <c r="F25" s="9" cm="1">
        <f t="array" ref="F25">+IF(E25=$K$11,0,_xlfn.IFS(E25=$K$12,$L$12,E25=$K$13,$L$13,E25=$K$14,$L$14))</f>
        <v>3900</v>
      </c>
    </row>
    <row r="26" spans="1:8" x14ac:dyDescent="0.3">
      <c r="A26" s="12" t="s">
        <v>54</v>
      </c>
      <c r="B26" s="13" t="s">
        <v>246</v>
      </c>
      <c r="C26" s="14">
        <v>17829000</v>
      </c>
      <c r="D26" s="2">
        <f t="shared" si="0"/>
        <v>10778442</v>
      </c>
      <c r="E26" s="2" t="s">
        <v>10</v>
      </c>
      <c r="F26" s="9" cm="1">
        <f t="array" ref="F26">+IF(E26=$K$11,0,_xlfn.IFS(E26=$K$12,$L$12,E26=$K$13,$L$13,E26=$K$14,$L$14))</f>
        <v>0</v>
      </c>
    </row>
    <row r="27" spans="1:8" x14ac:dyDescent="0.3">
      <c r="A27" s="12" t="s">
        <v>239</v>
      </c>
      <c r="B27" s="13"/>
      <c r="C27" s="14">
        <v>600000</v>
      </c>
      <c r="D27" s="2">
        <f t="shared" si="0"/>
        <v>10178442</v>
      </c>
      <c r="E27" s="2" t="s">
        <v>34</v>
      </c>
      <c r="F27" s="9" cm="1">
        <f t="array" ref="F27">+IF(E27=$K$11,0,_xlfn.IFS(E27=$K$12,$L$12,E27=$K$13,$L$13,E27=$K$14,$L$14))</f>
        <v>3900</v>
      </c>
    </row>
    <row r="28" spans="1:8" x14ac:dyDescent="0.3">
      <c r="A28" s="12" t="s">
        <v>65</v>
      </c>
      <c r="B28" s="13" t="s">
        <v>247</v>
      </c>
      <c r="C28" s="14">
        <v>7795986</v>
      </c>
      <c r="D28" s="2">
        <f t="shared" si="0"/>
        <v>2382456</v>
      </c>
      <c r="E28" s="2" t="s">
        <v>10</v>
      </c>
      <c r="F28" s="9" cm="1">
        <f t="array" ref="F28">+IF(E28=$K$11,0,_xlfn.IFS(E28=$K$12,$L$12,E28=$K$13,$L$13,E28=$K$14,$L$14))</f>
        <v>0</v>
      </c>
    </row>
    <row r="29" spans="1:8" x14ac:dyDescent="0.3">
      <c r="A29" s="12" t="s">
        <v>84</v>
      </c>
      <c r="B29" s="13"/>
      <c r="C29" s="14">
        <v>1300000</v>
      </c>
      <c r="D29" s="2">
        <f t="shared" si="0"/>
        <v>1082456</v>
      </c>
      <c r="E29" s="2" t="s">
        <v>34</v>
      </c>
      <c r="F29" s="9" cm="1">
        <f t="array" ref="F29">+IF(E29=$K$11,0,_xlfn.IFS(E29=$K$12,$L$12,E29=$K$13,$L$13,E29=$K$14,$L$14))</f>
        <v>3900</v>
      </c>
    </row>
    <row r="30" spans="1:8" x14ac:dyDescent="0.3">
      <c r="A30" s="12"/>
      <c r="B30" s="13"/>
      <c r="C30" s="14"/>
      <c r="D30" s="2">
        <f t="shared" si="0"/>
        <v>1082456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1082456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1082456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1082456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1082456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1082456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1082456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1082456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BAQ-18487</v>
      </c>
      <c r="C38" s="16">
        <v>150000</v>
      </c>
      <c r="D38" s="2">
        <f t="shared" si="0"/>
        <v>932456</v>
      </c>
      <c r="E38" s="6" t="s">
        <v>12</v>
      </c>
      <c r="F38" s="9">
        <f>+SUM(F23:F37)+$D$18</f>
        <v>11700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856456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145008</v>
      </c>
      <c r="D40" s="2">
        <f t="shared" si="0"/>
        <v>711448</v>
      </c>
      <c r="F40" s="9"/>
    </row>
    <row r="41" spans="1:6" x14ac:dyDescent="0.3">
      <c r="A41" s="20" t="s">
        <v>20</v>
      </c>
      <c r="B41" s="21"/>
      <c r="C41" s="22">
        <f>+$F$38</f>
        <v>11700</v>
      </c>
      <c r="D41" s="2">
        <f>+D40-C41</f>
        <v>699748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BAQ-18487</v>
      </c>
    </row>
    <row r="45" spans="1:6" x14ac:dyDescent="0.3">
      <c r="A45" s="25" t="s">
        <v>21</v>
      </c>
      <c r="B45" s="26">
        <v>46171</v>
      </c>
    </row>
    <row r="46" spans="1:6" x14ac:dyDescent="0.3">
      <c r="A46" s="25" t="s">
        <v>12</v>
      </c>
      <c r="B46" s="27">
        <v>34772409</v>
      </c>
    </row>
    <row r="47" spans="1:6" x14ac:dyDescent="0.3">
      <c r="A47" s="47" t="str">
        <f>+IF($B$47&gt;0,"SALDO A FAVOR","SALDO A CARGO")</f>
        <v>SALDO A FAVOR</v>
      </c>
      <c r="B47" s="48">
        <f>+$B$20-$B$46</f>
        <v>1479591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-779843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-779843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DO.CTG26-0151</v>
      </c>
      <c r="B58" s="39" t="str">
        <f>+$B$2</f>
        <v>BAQ-18487</v>
      </c>
      <c r="C58" s="56">
        <f>+$B$20</f>
        <v>36252000</v>
      </c>
      <c r="D58" s="57">
        <f>+$B$45</f>
        <v>46171</v>
      </c>
      <c r="E58" s="56">
        <f>+$B$46</f>
        <v>34772409</v>
      </c>
      <c r="F58" s="56">
        <f>+$B$47</f>
        <v>1479591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-779843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61" priority="21">
      <formula>$E$23="PSE"</formula>
    </cfRule>
  </conditionalFormatting>
  <conditionalFormatting sqref="A24:C24">
    <cfRule type="expression" dxfId="60" priority="20">
      <formula>$E$24="PSE"</formula>
    </cfRule>
  </conditionalFormatting>
  <conditionalFormatting sqref="A25:C25">
    <cfRule type="expression" dxfId="59" priority="19">
      <formula>$E$25="PSE"</formula>
    </cfRule>
  </conditionalFormatting>
  <conditionalFormatting sqref="A26:C26">
    <cfRule type="expression" dxfId="58" priority="18">
      <formula>$E$26="PSE"</formula>
    </cfRule>
  </conditionalFormatting>
  <conditionalFormatting sqref="A27:C27">
    <cfRule type="expression" dxfId="57" priority="17">
      <formula>$E$27="PSE"</formula>
    </cfRule>
  </conditionalFormatting>
  <conditionalFormatting sqref="A28:C28">
    <cfRule type="expression" dxfId="56" priority="16">
      <formula>$E$28="PSE"</formula>
    </cfRule>
  </conditionalFormatting>
  <conditionalFormatting sqref="A29:C29">
    <cfRule type="expression" dxfId="55" priority="15">
      <formula>$E$29="PSE"</formula>
    </cfRule>
  </conditionalFormatting>
  <conditionalFormatting sqref="A30:C30">
    <cfRule type="expression" dxfId="54" priority="14">
      <formula>$E$30="PSE"</formula>
    </cfRule>
  </conditionalFormatting>
  <conditionalFormatting sqref="A31:C31">
    <cfRule type="expression" dxfId="53" priority="13">
      <formula>$E$31="PSE"</formula>
    </cfRule>
  </conditionalFormatting>
  <conditionalFormatting sqref="A32:C32">
    <cfRule type="expression" dxfId="52" priority="12">
      <formula>$E$32="PSE"</formula>
    </cfRule>
  </conditionalFormatting>
  <conditionalFormatting sqref="A33:C33">
    <cfRule type="expression" dxfId="51" priority="11">
      <formula>$E$33="PSE"</formula>
    </cfRule>
  </conditionalFormatting>
  <conditionalFormatting sqref="A34:C34">
    <cfRule type="expression" dxfId="50" priority="10">
      <formula>$E$34="PSE"</formula>
    </cfRule>
  </conditionalFormatting>
  <conditionalFormatting sqref="A35:C35">
    <cfRule type="expression" dxfId="49" priority="9">
      <formula>$E$35="PSE"</formula>
    </cfRule>
  </conditionalFormatting>
  <conditionalFormatting sqref="A36:C36">
    <cfRule type="expression" dxfId="48" priority="8">
      <formula>$E$36="PSE"</formula>
    </cfRule>
  </conditionalFormatting>
  <conditionalFormatting sqref="A37:C37">
    <cfRule type="expression" dxfId="47" priority="7">
      <formula>$E$37="PSE"</formula>
    </cfRule>
  </conditionalFormatting>
  <conditionalFormatting sqref="B51">
    <cfRule type="cellIs" dxfId="46" priority="22" operator="lessThan">
      <formula>0</formula>
    </cfRule>
    <cfRule type="cellIs" dxfId="45" priority="23" operator="greaterThan">
      <formula>0</formula>
    </cfRule>
  </conditionalFormatting>
  <conditionalFormatting sqref="B55">
    <cfRule type="cellIs" dxfId="44" priority="5" operator="greaterThan">
      <formula>0</formula>
    </cfRule>
    <cfRule type="cellIs" dxfId="43" priority="6" operator="lessThan">
      <formula>0</formula>
    </cfRule>
  </conditionalFormatting>
  <conditionalFormatting sqref="D23:D41 B47">
    <cfRule type="cellIs" dxfId="42" priority="24" operator="lessThan">
      <formula>0</formula>
    </cfRule>
    <cfRule type="cellIs" dxfId="41" priority="25" operator="greaterThan">
      <formula>0</formula>
    </cfRule>
  </conditionalFormatting>
  <conditionalFormatting sqref="F58">
    <cfRule type="cellIs" dxfId="40" priority="3" operator="lessThan">
      <formula>0</formula>
    </cfRule>
    <cfRule type="cellIs" dxfId="39" priority="4" operator="greaterThan">
      <formula>0</formula>
    </cfRule>
  </conditionalFormatting>
  <conditionalFormatting sqref="I58">
    <cfRule type="cellIs" dxfId="38" priority="1" operator="lessThan">
      <formula>0</formula>
    </cfRule>
    <cfRule type="cellIs" dxfId="37" priority="2" operator="greaterThan">
      <formula>0</formula>
    </cfRule>
  </conditionalFormatting>
  <dataValidations count="4">
    <dataValidation type="list" showInputMessage="1" showErrorMessage="1" sqref="B49" xr:uid="{41EA4479-AC4B-4D4D-BD86-EBCB4C12C640}">
      <formula1>$K$5:$K$14</formula1>
    </dataValidation>
    <dataValidation type="list" allowBlank="1" showInputMessage="1" showErrorMessage="1" sqref="B53" xr:uid="{BE81273A-9324-4678-BCBF-645706439E61}">
      <formula1>$K$12:$K$14</formula1>
    </dataValidation>
    <dataValidation type="list" showInputMessage="1" showErrorMessage="1" sqref="E23:E37 E39:E41" xr:uid="{07966CE1-F1A7-43C0-9884-BAE297F813DA}">
      <formula1>$K$12:$K$14</formula1>
    </dataValidation>
    <dataValidation type="list" allowBlank="1" showInputMessage="1" showErrorMessage="1" sqref="C5:C17" xr:uid="{354E9CE7-F984-4213-956B-273BC330A229}">
      <formula1>$K$5:$K$10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77EF7-A368-4D54-88C2-4F5D706FACEC}">
  <dimension ref="A1:O58"/>
  <sheetViews>
    <sheetView topLeftCell="A15" workbookViewId="0">
      <selection activeCell="G38" sqref="G38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22" style="2" bestFit="1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248</v>
      </c>
      <c r="B2" s="4" t="s">
        <v>260</v>
      </c>
      <c r="F2" s="28"/>
      <c r="G2" s="5" t="s">
        <v>24</v>
      </c>
      <c r="I2" s="5" t="str">
        <f>+$B$2</f>
        <v>BAQ-18506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46168</v>
      </c>
      <c r="B5" s="9">
        <v>36302000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36302000</v>
      </c>
      <c r="C20" s="6" t="s">
        <v>27</v>
      </c>
      <c r="D20" s="2">
        <f>+IF($A$47="SALDO A FAVOR",$B$20*0.004,($B$20+ABS($B$47))*0.004)</f>
        <v>145208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77</v>
      </c>
      <c r="B23" s="13" t="s">
        <v>249</v>
      </c>
      <c r="C23" s="14">
        <v>1095937</v>
      </c>
      <c r="D23" s="2">
        <f>+$B$20-C23</f>
        <v>35206063</v>
      </c>
      <c r="E23" s="2" t="s">
        <v>10</v>
      </c>
      <c r="F23" s="9" cm="1">
        <f t="array" ref="F23">+IF(E23=$K$11,0,_xlfn.IFS(E23=$K$12,$L$12,E23=$K$13,$L$13,E23=$K$14,$L$14))</f>
        <v>0</v>
      </c>
    </row>
    <row r="24" spans="1:8" x14ac:dyDescent="0.3">
      <c r="A24" s="12" t="s">
        <v>75</v>
      </c>
      <c r="B24" s="13" t="s">
        <v>250</v>
      </c>
      <c r="C24" s="14">
        <v>5299232</v>
      </c>
      <c r="D24" s="2">
        <f>+D23-C24</f>
        <v>29906831</v>
      </c>
      <c r="E24" s="2" t="s">
        <v>10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54</v>
      </c>
      <c r="B25" s="13" t="s">
        <v>251</v>
      </c>
      <c r="C25" s="14">
        <v>17772000</v>
      </c>
      <c r="D25" s="2">
        <f t="shared" ref="D25:D40" si="0">+D24-C25</f>
        <v>12134831</v>
      </c>
      <c r="E25" s="2" t="s">
        <v>10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50</v>
      </c>
      <c r="B26" s="13"/>
      <c r="C26" s="14">
        <v>1200000</v>
      </c>
      <c r="D26" s="2">
        <f t="shared" si="0"/>
        <v>10934831</v>
      </c>
      <c r="E26" s="2" t="s">
        <v>34</v>
      </c>
      <c r="F26" s="9" cm="1">
        <f t="array" ref="F26">+IF(E26=$K$11,0,_xlfn.IFS(E26=$K$12,$L$12,E26=$K$13,$L$13,E26=$K$14,$L$14))</f>
        <v>3900</v>
      </c>
    </row>
    <row r="27" spans="1:8" x14ac:dyDescent="0.3">
      <c r="A27" s="12" t="s">
        <v>65</v>
      </c>
      <c r="B27" s="13" t="s">
        <v>258</v>
      </c>
      <c r="C27" s="14">
        <v>7802314</v>
      </c>
      <c r="D27" s="2">
        <f t="shared" si="0"/>
        <v>3132517</v>
      </c>
      <c r="E27" s="2" t="s">
        <v>10</v>
      </c>
      <c r="F27" s="9" cm="1">
        <f t="array" ref="F27">+IF(E27=$K$11,0,_xlfn.IFS(E27=$K$12,$L$12,E27=$K$13,$L$13,E27=$K$14,$L$14))</f>
        <v>0</v>
      </c>
    </row>
    <row r="28" spans="1:8" x14ac:dyDescent="0.3">
      <c r="A28" s="12" t="s">
        <v>65</v>
      </c>
      <c r="B28" s="13" t="s">
        <v>259</v>
      </c>
      <c r="C28" s="14">
        <v>744363</v>
      </c>
      <c r="D28" s="2">
        <f t="shared" si="0"/>
        <v>2388154</v>
      </c>
      <c r="E28" s="2" t="s">
        <v>10</v>
      </c>
      <c r="F28" s="9" cm="1">
        <f t="array" ref="F28">+IF(E28=$K$11,0,_xlfn.IFS(E28=$K$12,$L$12,E28=$K$13,$L$13,E28=$K$14,$L$14))</f>
        <v>0</v>
      </c>
    </row>
    <row r="29" spans="1:8" x14ac:dyDescent="0.3">
      <c r="A29" s="12" t="s">
        <v>84</v>
      </c>
      <c r="B29" s="13"/>
      <c r="C29" s="14">
        <v>1300000</v>
      </c>
      <c r="D29" s="2">
        <f t="shared" si="0"/>
        <v>1088154</v>
      </c>
      <c r="E29" s="2" t="s">
        <v>34</v>
      </c>
      <c r="F29" s="9" cm="1">
        <f t="array" ref="F29">+IF(E29=$K$11,0,_xlfn.IFS(E29=$K$12,$L$12,E29=$K$13,$L$13,E29=$K$14,$L$14))</f>
        <v>3900</v>
      </c>
    </row>
    <row r="30" spans="1:8" x14ac:dyDescent="0.3">
      <c r="A30" s="12"/>
      <c r="B30" s="13"/>
      <c r="C30" s="14"/>
      <c r="D30" s="2">
        <f t="shared" si="0"/>
        <v>1088154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1088154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1088154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1088154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1088154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1088154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1088154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1088154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BAQ-18506</v>
      </c>
      <c r="C38" s="16">
        <v>150000</v>
      </c>
      <c r="D38" s="2">
        <f t="shared" si="0"/>
        <v>938154</v>
      </c>
      <c r="E38" s="6" t="s">
        <v>12</v>
      </c>
      <c r="F38" s="9">
        <f>+SUM(F23:F37)+$D$18</f>
        <v>9750</v>
      </c>
    </row>
    <row r="39" spans="1:6" x14ac:dyDescent="0.3">
      <c r="A39" s="17" t="s">
        <v>17</v>
      </c>
      <c r="B39" s="92"/>
      <c r="C39" s="18">
        <v>76000</v>
      </c>
      <c r="D39" s="2">
        <f t="shared" si="0"/>
        <v>862154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145208</v>
      </c>
      <c r="D40" s="2">
        <f t="shared" si="0"/>
        <v>716946</v>
      </c>
      <c r="F40" s="9"/>
    </row>
    <row r="41" spans="1:6" x14ac:dyDescent="0.3">
      <c r="A41" s="20" t="s">
        <v>20</v>
      </c>
      <c r="B41" s="21"/>
      <c r="C41" s="22">
        <f>+$F$38</f>
        <v>9750</v>
      </c>
      <c r="D41" s="2">
        <f>+D40-C41</f>
        <v>707196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BAQ-18506</v>
      </c>
    </row>
    <row r="45" spans="1:6" x14ac:dyDescent="0.3">
      <c r="A45" s="25" t="s">
        <v>21</v>
      </c>
      <c r="B45" s="26">
        <v>46177</v>
      </c>
    </row>
    <row r="46" spans="1:6" x14ac:dyDescent="0.3">
      <c r="A46" s="25" t="s">
        <v>12</v>
      </c>
      <c r="B46" s="27">
        <v>35311636</v>
      </c>
    </row>
    <row r="47" spans="1:6" x14ac:dyDescent="0.3">
      <c r="A47" s="47" t="str">
        <f>+IF($B$47&gt;0,"SALDO A FAVOR","SALDO A CARGO")</f>
        <v>SALDO A FAVOR</v>
      </c>
      <c r="B47" s="48">
        <f>+$B$20-$B$46</f>
        <v>990364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-283168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-283168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DO.CTG26-0169</v>
      </c>
      <c r="B58" s="39" t="str">
        <f>+$B$2</f>
        <v>BAQ-18506</v>
      </c>
      <c r="C58" s="56">
        <f>+$B$20</f>
        <v>36302000</v>
      </c>
      <c r="D58" s="57">
        <f>+$B$45</f>
        <v>46177</v>
      </c>
      <c r="E58" s="56">
        <f>+$B$46</f>
        <v>35311636</v>
      </c>
      <c r="F58" s="56">
        <f>+$B$47</f>
        <v>990364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-283168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686" priority="21">
      <formula>$E$23="PSE"</formula>
    </cfRule>
  </conditionalFormatting>
  <conditionalFormatting sqref="A24:C24">
    <cfRule type="expression" dxfId="685" priority="20">
      <formula>$E$24="PSE"</formula>
    </cfRule>
  </conditionalFormatting>
  <conditionalFormatting sqref="A25:C25">
    <cfRule type="expression" dxfId="684" priority="19">
      <formula>$E$25="PSE"</formula>
    </cfRule>
  </conditionalFormatting>
  <conditionalFormatting sqref="A26:C26">
    <cfRule type="expression" dxfId="683" priority="18">
      <formula>$E$26="PSE"</formula>
    </cfRule>
  </conditionalFormatting>
  <conditionalFormatting sqref="A27:C27">
    <cfRule type="expression" dxfId="682" priority="17">
      <formula>$E$27="PSE"</formula>
    </cfRule>
  </conditionalFormatting>
  <conditionalFormatting sqref="A28:C28">
    <cfRule type="expression" dxfId="681" priority="16">
      <formula>$E$28="PSE"</formula>
    </cfRule>
  </conditionalFormatting>
  <conditionalFormatting sqref="A29:C29">
    <cfRule type="expression" dxfId="680" priority="15">
      <formula>$E$29="PSE"</formula>
    </cfRule>
  </conditionalFormatting>
  <conditionalFormatting sqref="A30:C30">
    <cfRule type="expression" dxfId="679" priority="14">
      <formula>$E$30="PSE"</formula>
    </cfRule>
  </conditionalFormatting>
  <conditionalFormatting sqref="A31:C31">
    <cfRule type="expression" dxfId="678" priority="13">
      <formula>$E$31="PSE"</formula>
    </cfRule>
  </conditionalFormatting>
  <conditionalFormatting sqref="A32:C32">
    <cfRule type="expression" dxfId="677" priority="12">
      <formula>$E$32="PSE"</formula>
    </cfRule>
  </conditionalFormatting>
  <conditionalFormatting sqref="A33:C33">
    <cfRule type="expression" dxfId="676" priority="11">
      <formula>$E$33="PSE"</formula>
    </cfRule>
  </conditionalFormatting>
  <conditionalFormatting sqref="A34:C34">
    <cfRule type="expression" dxfId="675" priority="10">
      <formula>$E$34="PSE"</formula>
    </cfRule>
  </conditionalFormatting>
  <conditionalFormatting sqref="A35:C35">
    <cfRule type="expression" dxfId="674" priority="9">
      <formula>$E$35="PSE"</formula>
    </cfRule>
  </conditionalFormatting>
  <conditionalFormatting sqref="A36:C36">
    <cfRule type="expression" dxfId="673" priority="8">
      <formula>$E$36="PSE"</formula>
    </cfRule>
  </conditionalFormatting>
  <conditionalFormatting sqref="A37:C37">
    <cfRule type="expression" dxfId="672" priority="7">
      <formula>$E$37="PSE"</formula>
    </cfRule>
  </conditionalFormatting>
  <conditionalFormatting sqref="B51">
    <cfRule type="cellIs" dxfId="671" priority="22" operator="lessThan">
      <formula>0</formula>
    </cfRule>
    <cfRule type="cellIs" dxfId="670" priority="23" operator="greaterThan">
      <formula>0</formula>
    </cfRule>
  </conditionalFormatting>
  <conditionalFormatting sqref="B55">
    <cfRule type="cellIs" dxfId="669" priority="5" operator="greaterThan">
      <formula>0</formula>
    </cfRule>
    <cfRule type="cellIs" dxfId="668" priority="6" operator="lessThan">
      <formula>0</formula>
    </cfRule>
  </conditionalFormatting>
  <conditionalFormatting sqref="D23:D41 B47">
    <cfRule type="cellIs" dxfId="667" priority="24" operator="lessThan">
      <formula>0</formula>
    </cfRule>
    <cfRule type="cellIs" dxfId="666" priority="25" operator="greaterThan">
      <formula>0</formula>
    </cfRule>
  </conditionalFormatting>
  <conditionalFormatting sqref="F58">
    <cfRule type="cellIs" dxfId="665" priority="3" operator="lessThan">
      <formula>0</formula>
    </cfRule>
    <cfRule type="cellIs" dxfId="664" priority="4" operator="greaterThan">
      <formula>0</formula>
    </cfRule>
  </conditionalFormatting>
  <conditionalFormatting sqref="I58">
    <cfRule type="cellIs" dxfId="663" priority="1" operator="lessThan">
      <formula>0</formula>
    </cfRule>
    <cfRule type="cellIs" dxfId="662" priority="2" operator="greaterThan">
      <formula>0</formula>
    </cfRule>
  </conditionalFormatting>
  <dataValidations count="4">
    <dataValidation type="list" showInputMessage="1" showErrorMessage="1" sqref="B49" xr:uid="{B0EEA43F-04CC-4073-99EE-4AAFC6BF878C}">
      <formula1>$K$5:$K$14</formula1>
    </dataValidation>
    <dataValidation type="list" allowBlank="1" showInputMessage="1" showErrorMessage="1" sqref="B53" xr:uid="{FBDE653A-7A3E-4E9D-B871-7F29159B2542}">
      <formula1>$K$12:$K$14</formula1>
    </dataValidation>
    <dataValidation type="list" showInputMessage="1" showErrorMessage="1" sqref="E23:E37 E39:E41" xr:uid="{0A71A3F6-9967-4E83-89E3-1E9D2796F1CF}">
      <formula1>$K$12:$K$14</formula1>
    </dataValidation>
    <dataValidation type="list" allowBlank="1" showInputMessage="1" showErrorMessage="1" sqref="C5:C17" xr:uid="{0D718A3B-E062-4694-8BFD-72A9586DF761}">
      <formula1>$K$5:$K$10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66731-0255-4852-8FD5-9B0CAC4A168F}">
  <dimension ref="A1:O58"/>
  <sheetViews>
    <sheetView tabSelected="1" workbookViewId="0">
      <selection activeCell="C27" sqref="C27"/>
    </sheetView>
  </sheetViews>
  <sheetFormatPr baseColWidth="10" defaultColWidth="9.109375" defaultRowHeight="14.4" x14ac:dyDescent="0.3"/>
  <cols>
    <col min="1" max="1" width="39.44140625" style="6" customWidth="1"/>
    <col min="2" max="2" width="43.33203125" style="2" customWidth="1"/>
    <col min="3" max="3" width="22.88671875" style="2" customWidth="1"/>
    <col min="4" max="4" width="15.5546875" style="2" bestFit="1" customWidth="1"/>
    <col min="5" max="5" width="15.5546875" style="2" customWidth="1"/>
    <col min="6" max="6" width="17.109375" style="2" customWidth="1"/>
    <col min="7" max="7" width="21" style="2" customWidth="1"/>
    <col min="8" max="8" width="16.5546875" style="2" bestFit="1" customWidth="1"/>
    <col min="9" max="9" width="14.109375" style="2" customWidth="1"/>
    <col min="10" max="10" width="21.6640625" style="2" bestFit="1" customWidth="1"/>
    <col min="11" max="11" width="23.44140625" style="2" bestFit="1" customWidth="1"/>
    <col min="12" max="12" width="18.44140625" style="2" bestFit="1" customWidth="1"/>
    <col min="13" max="13" width="9.109375" style="2"/>
    <col min="14" max="14" width="16.44140625" style="2" bestFit="1" customWidth="1"/>
    <col min="15" max="15" width="13" style="2" bestFit="1" customWidth="1"/>
    <col min="16" max="16" width="11" style="2" bestFit="1" customWidth="1"/>
    <col min="17" max="17" width="13" style="2" bestFit="1" customWidth="1"/>
    <col min="18" max="16384" width="9.109375" style="2"/>
  </cols>
  <sheetData>
    <row r="1" spans="1:15" ht="17.399999999999999" x14ac:dyDescent="0.35">
      <c r="A1" s="1" t="s">
        <v>0</v>
      </c>
      <c r="B1" s="1" t="s">
        <v>48</v>
      </c>
    </row>
    <row r="2" spans="1:15" ht="25.8" x14ac:dyDescent="0.5">
      <c r="A2" s="3" t="s">
        <v>261</v>
      </c>
      <c r="B2" s="4" t="s">
        <v>28</v>
      </c>
      <c r="F2" s="28"/>
      <c r="G2" s="5" t="s">
        <v>24</v>
      </c>
      <c r="I2" s="5" t="str">
        <f>+$B$2</f>
        <v>BAQ-XXXXX</v>
      </c>
    </row>
    <row r="3" spans="1:15" x14ac:dyDescent="0.3">
      <c r="K3" s="89" t="s">
        <v>1</v>
      </c>
      <c r="L3" s="90"/>
    </row>
    <row r="4" spans="1:15" x14ac:dyDescent="0.3">
      <c r="A4" s="7" t="s">
        <v>3</v>
      </c>
      <c r="B4" s="6"/>
      <c r="C4" s="6" t="s">
        <v>1</v>
      </c>
      <c r="D4" s="6"/>
      <c r="E4" s="6"/>
      <c r="K4" s="33"/>
      <c r="L4" s="32" t="s">
        <v>4</v>
      </c>
    </row>
    <row r="5" spans="1:15" x14ac:dyDescent="0.3">
      <c r="A5" s="8">
        <v>46179</v>
      </c>
      <c r="B5" s="9">
        <v>29967000</v>
      </c>
      <c r="C5" s="9" t="s">
        <v>6</v>
      </c>
      <c r="D5" s="9" cm="1">
        <f t="array" ref="D5">+IF(C5=$K$7,0,_xlfn.IFS(C5=$K$5,$L$5,C5=$K$6,$L$6,C5=$K$8,$L$8,C5=$K$9,$L$9,C5=$K$10,$L$10))</f>
        <v>1950</v>
      </c>
      <c r="E5" s="9"/>
      <c r="K5" s="30" t="s">
        <v>6</v>
      </c>
      <c r="L5" s="30">
        <v>1950</v>
      </c>
    </row>
    <row r="6" spans="1:15" x14ac:dyDescent="0.3">
      <c r="A6" s="8"/>
      <c r="B6" s="9">
        <v>0</v>
      </c>
      <c r="C6" s="9"/>
      <c r="D6" s="9" cm="1">
        <f t="array" ref="D6">+IF(C6=$K$7,0,_xlfn.IFS(C6=$K$5,$L$5,C6=$K$6,$L$6,C6=$K$8,$L$8,C6=$K$9,$L$9,C6=$K$10,$L$10))</f>
        <v>0</v>
      </c>
      <c r="E6" s="9"/>
      <c r="K6" s="31" t="s">
        <v>8</v>
      </c>
      <c r="L6" s="31">
        <v>2200</v>
      </c>
    </row>
    <row r="7" spans="1:15" x14ac:dyDescent="0.3">
      <c r="A7" s="8"/>
      <c r="B7" s="9">
        <v>0</v>
      </c>
      <c r="C7" s="9"/>
      <c r="D7" s="9" cm="1">
        <f t="array" ref="D7">+IF(C7=$K$7,0,_xlfn.IFS(C7=$K$5,$L$5,C7=$K$6,$L$6,C7=$K$8,$L$8,C7=$K$9,$L$9,C7=$K$10,$L$10))</f>
        <v>0</v>
      </c>
      <c r="E7" s="9"/>
      <c r="K7" s="33"/>
      <c r="L7" s="34" t="s">
        <v>5</v>
      </c>
      <c r="N7" s="11"/>
      <c r="O7" s="11"/>
    </row>
    <row r="8" spans="1:15" x14ac:dyDescent="0.3">
      <c r="A8" s="8"/>
      <c r="B8" s="9">
        <v>0</v>
      </c>
      <c r="C8" s="9"/>
      <c r="D8" s="9" cm="1">
        <f t="array" ref="D8">+IF(C8=$K$7,0,_xlfn.IFS(C8=$K$5,$L$5,C8=$K$6,$L$6,C8=$K$8,$L$8,C8=$K$9,$L$9,C8=$K$10,$L$10))</f>
        <v>0</v>
      </c>
      <c r="E8" s="9"/>
      <c r="K8" s="30" t="s">
        <v>7</v>
      </c>
      <c r="L8" s="30">
        <v>11290</v>
      </c>
      <c r="N8" s="11"/>
      <c r="O8" s="11"/>
    </row>
    <row r="9" spans="1:15" x14ac:dyDescent="0.3">
      <c r="A9" s="8"/>
      <c r="B9" s="9">
        <v>0</v>
      </c>
      <c r="C9" s="9"/>
      <c r="D9" s="9" cm="1">
        <f t="array" ref="D9">+IF(C9=$K$7,0,_xlfn.IFS(C9=$K$5,$L$5,C9=$K$6,$L$6,C9=$K$8,$L$8,C9=$K$9,$L$9,C9=$K$10,$L$10))</f>
        <v>0</v>
      </c>
      <c r="E9" s="9"/>
      <c r="K9" s="30" t="s">
        <v>9</v>
      </c>
      <c r="L9" s="30">
        <v>6190</v>
      </c>
      <c r="N9" s="11"/>
      <c r="O9" s="11"/>
    </row>
    <row r="10" spans="1:15" x14ac:dyDescent="0.3">
      <c r="A10" s="8"/>
      <c r="B10" s="9">
        <v>0</v>
      </c>
      <c r="C10" s="9"/>
      <c r="D10" s="9" cm="1">
        <f t="array" ref="D10">+IF(C10=$K$7,0,_xlfn.IFS(C10=$K$5,$L$5,C10=$K$6,$L$6,C10=$K$8,$L$8,C10=$K$9,$L$9,C10=$K$10,$L$10))</f>
        <v>0</v>
      </c>
      <c r="E10" s="9"/>
      <c r="K10" s="30" t="s">
        <v>11</v>
      </c>
      <c r="L10" s="30">
        <v>5200</v>
      </c>
      <c r="N10" s="11"/>
      <c r="O10" s="11"/>
    </row>
    <row r="11" spans="1:15" x14ac:dyDescent="0.3">
      <c r="A11" s="8"/>
      <c r="B11" s="9">
        <v>0</v>
      </c>
      <c r="C11" s="9"/>
      <c r="D11" s="9" cm="1">
        <f t="array" ref="D11">+IF(C11=$K$7,0,_xlfn.IFS(C11=$K$5,$L$5,C11=$K$6,$L$6,C11=$K$8,$L$8,C11=$K$9,$L$9,C11=$K$10,$L$10))</f>
        <v>0</v>
      </c>
      <c r="E11" s="9"/>
      <c r="K11" s="45"/>
      <c r="L11" s="32" t="s">
        <v>2</v>
      </c>
    </row>
    <row r="12" spans="1:15" x14ac:dyDescent="0.3">
      <c r="A12" s="8"/>
      <c r="B12" s="9">
        <v>0</v>
      </c>
      <c r="C12" s="9"/>
      <c r="D12" s="9" cm="1">
        <f t="array" ref="D12">+IF(C12=$K$7,0,_xlfn.IFS(C12=$K$5,$L$5,C12=$K$6,$L$6,C12=$K$8,$L$8,C12=$K$9,$L$9,C12=$K$10,$L$10))</f>
        <v>0</v>
      </c>
      <c r="E12" s="9"/>
      <c r="G12" s="6"/>
      <c r="H12" s="6"/>
      <c r="I12" s="6"/>
      <c r="K12" s="46" t="s">
        <v>34</v>
      </c>
      <c r="L12" s="30">
        <v>3900</v>
      </c>
    </row>
    <row r="13" spans="1:15" x14ac:dyDescent="0.3">
      <c r="A13" s="8"/>
      <c r="B13" s="9">
        <v>0</v>
      </c>
      <c r="C13" s="9"/>
      <c r="D13" s="9" cm="1">
        <f t="array" ref="D13">+IF(C13=$K$7,0,_xlfn.IFS(C13=$K$5,$L$5,C13=$K$6,$L$6,C13=$K$8,$L$8,C13=$K$9,$L$9,C13=$K$10,$L$10))</f>
        <v>0</v>
      </c>
      <c r="E13" s="9"/>
      <c r="K13" s="46" t="s">
        <v>10</v>
      </c>
      <c r="L13" s="30">
        <v>0</v>
      </c>
    </row>
    <row r="14" spans="1:15" x14ac:dyDescent="0.3">
      <c r="A14" s="8"/>
      <c r="B14" s="9">
        <v>0</v>
      </c>
      <c r="C14" s="9"/>
      <c r="D14" s="9" cm="1">
        <f t="array" ref="D14">+IF(C14=$K$7,0,_xlfn.IFS(C14=$K$5,$L$5,C14=$K$6,$L$6,C14=$K$8,$L$8,C14=$K$9,$L$9,C14=$K$10,$L$10))</f>
        <v>0</v>
      </c>
      <c r="E14" s="9"/>
      <c r="K14" s="10" t="s">
        <v>35</v>
      </c>
      <c r="L14" s="31">
        <v>7300</v>
      </c>
    </row>
    <row r="15" spans="1:15" x14ac:dyDescent="0.3">
      <c r="A15" s="8"/>
      <c r="B15" s="9">
        <v>0</v>
      </c>
      <c r="C15" s="9"/>
      <c r="D15" s="9" cm="1">
        <f t="array" ref="D15">+IF(C15=$K$7,0,_xlfn.IFS(C15=$K$5,$L$5,C15=$K$6,$L$6,C15=$K$8,$L$8,C15=$K$9,$L$9,C15=$K$10,$L$10))</f>
        <v>0</v>
      </c>
      <c r="E15" s="6"/>
    </row>
    <row r="16" spans="1:15" x14ac:dyDescent="0.3">
      <c r="A16" s="8"/>
      <c r="B16" s="9">
        <v>0</v>
      </c>
      <c r="C16" s="9"/>
      <c r="D16" s="9" cm="1">
        <f t="array" ref="D16">+IF(C16=$K$7,0,_xlfn.IFS(C16=$K$5,$L$5,C16=$K$6,$L$6,C16=$K$8,$L$8,C16=$K$9,$L$9,C16=$K$10,$L$10))</f>
        <v>0</v>
      </c>
      <c r="E16" s="6"/>
    </row>
    <row r="17" spans="1:8" x14ac:dyDescent="0.3">
      <c r="A17" s="8"/>
      <c r="B17" s="9">
        <v>0</v>
      </c>
      <c r="C17" s="9"/>
      <c r="D17" s="9" cm="1">
        <f t="array" ref="D17">+IF(C17=$K$7,0,_xlfn.IFS(C17=$K$5,$L$5,C17=$K$6,$L$6,C17=$K$8,$L$8,C17=$K$9,$L$9,C17=$K$10,$L$10))</f>
        <v>0</v>
      </c>
      <c r="E17" s="6"/>
    </row>
    <row r="18" spans="1:8" x14ac:dyDescent="0.3">
      <c r="A18" s="8"/>
      <c r="B18" s="9"/>
      <c r="C18" s="6" t="s">
        <v>12</v>
      </c>
      <c r="D18" s="9">
        <f>+SUM(D5:D17)</f>
        <v>1950</v>
      </c>
      <c r="E18" s="6"/>
    </row>
    <row r="19" spans="1:8" x14ac:dyDescent="0.3">
      <c r="A19" s="8"/>
      <c r="B19" s="9"/>
      <c r="C19" s="6"/>
      <c r="D19" s="6"/>
    </row>
    <row r="20" spans="1:8" x14ac:dyDescent="0.3">
      <c r="A20" s="6" t="s">
        <v>12</v>
      </c>
      <c r="B20" s="2">
        <f>+SUM(B5:B17)</f>
        <v>29967000</v>
      </c>
      <c r="C20" s="6" t="s">
        <v>27</v>
      </c>
      <c r="D20" s="2">
        <f>+IF($A$47="SALDO A FAVOR",$B$20*0.004,($B$20+ABS($B$47))*0.004)</f>
        <v>119868</v>
      </c>
      <c r="H20" s="6"/>
    </row>
    <row r="21" spans="1:8" x14ac:dyDescent="0.3">
      <c r="H21" s="6"/>
    </row>
    <row r="22" spans="1:8" x14ac:dyDescent="0.3">
      <c r="A22" s="29" t="s">
        <v>13</v>
      </c>
      <c r="B22" s="29" t="s">
        <v>14</v>
      </c>
      <c r="D22" s="6" t="s">
        <v>15</v>
      </c>
      <c r="E22" s="6" t="s">
        <v>25</v>
      </c>
      <c r="F22" s="6" t="s">
        <v>26</v>
      </c>
      <c r="H22" s="6"/>
    </row>
    <row r="23" spans="1:8" x14ac:dyDescent="0.3">
      <c r="A23" s="12" t="s">
        <v>62</v>
      </c>
      <c r="B23" s="13" t="s">
        <v>262</v>
      </c>
      <c r="C23" s="14">
        <v>1451830.5</v>
      </c>
      <c r="D23" s="2">
        <f>+$B$20-C23</f>
        <v>28515169.5</v>
      </c>
      <c r="F23" s="9" cm="1">
        <f t="array" ref="F23">+IF(E23=$K$11,0,_xlfn.IFS(E23=$K$12,$L$12,E23=$K$13,$L$13,E23=$K$14,$L$14))</f>
        <v>0</v>
      </c>
    </row>
    <row r="24" spans="1:8" x14ac:dyDescent="0.3">
      <c r="A24" s="12" t="s">
        <v>97</v>
      </c>
      <c r="B24" s="13" t="s">
        <v>262</v>
      </c>
      <c r="C24" s="14">
        <v>138154</v>
      </c>
      <c r="D24" s="2">
        <f>+D23-C24</f>
        <v>28377015.5</v>
      </c>
      <c r="F24" s="9" cm="1">
        <f t="array" ref="F24">+IF(E24=$K$11,0,_xlfn.IFS(E24=$K$12,$L$12,E24=$K$13,$L$13,E24=$K$14,$L$14))</f>
        <v>0</v>
      </c>
    </row>
    <row r="25" spans="1:8" x14ac:dyDescent="0.3">
      <c r="A25" s="12" t="s">
        <v>54</v>
      </c>
      <c r="B25" s="13" t="s">
        <v>263</v>
      </c>
      <c r="C25" s="14">
        <v>17061000</v>
      </c>
      <c r="D25" s="2">
        <f t="shared" ref="D25:D40" si="0">+D24-C25</f>
        <v>11316015.5</v>
      </c>
      <c r="F25" s="9" cm="1">
        <f t="array" ref="F25">+IF(E25=$K$11,0,_xlfn.IFS(E25=$K$12,$L$12,E25=$K$13,$L$13,E25=$K$14,$L$14))</f>
        <v>0</v>
      </c>
    </row>
    <row r="26" spans="1:8" x14ac:dyDescent="0.3">
      <c r="A26" s="12" t="s">
        <v>50</v>
      </c>
      <c r="B26" s="13"/>
      <c r="C26" s="14">
        <v>900000</v>
      </c>
      <c r="D26" s="2">
        <f t="shared" si="0"/>
        <v>10416015.5</v>
      </c>
      <c r="F26" s="9" cm="1">
        <f t="array" ref="F26">+IF(E26=$K$11,0,_xlfn.IFS(E26=$K$12,$L$12,E26=$K$13,$L$13,E26=$K$14,$L$14))</f>
        <v>0</v>
      </c>
    </row>
    <row r="27" spans="1:8" x14ac:dyDescent="0.3">
      <c r="A27" s="12"/>
      <c r="B27" s="13"/>
      <c r="C27" s="14"/>
      <c r="D27" s="2">
        <f t="shared" si="0"/>
        <v>10416015.5</v>
      </c>
      <c r="F27" s="9" cm="1">
        <f t="array" ref="F27">+IF(E27=$K$11,0,_xlfn.IFS(E27=$K$12,$L$12,E27=$K$13,$L$13,E27=$K$14,$L$14))</f>
        <v>0</v>
      </c>
    </row>
    <row r="28" spans="1:8" x14ac:dyDescent="0.3">
      <c r="A28" s="12"/>
      <c r="B28" s="13"/>
      <c r="C28" s="14"/>
      <c r="D28" s="2">
        <f t="shared" si="0"/>
        <v>10416015.5</v>
      </c>
      <c r="F28" s="9" cm="1">
        <f t="array" ref="F28">+IF(E28=$K$11,0,_xlfn.IFS(E28=$K$12,$L$12,E28=$K$13,$L$13,E28=$K$14,$L$14))</f>
        <v>0</v>
      </c>
    </row>
    <row r="29" spans="1:8" x14ac:dyDescent="0.3">
      <c r="A29" s="12"/>
      <c r="B29" s="13"/>
      <c r="C29" s="14"/>
      <c r="D29" s="2">
        <f t="shared" si="0"/>
        <v>10416015.5</v>
      </c>
      <c r="F29" s="9" cm="1">
        <f t="array" ref="F29">+IF(E29=$K$11,0,_xlfn.IFS(E29=$K$12,$L$12,E29=$K$13,$L$13,E29=$K$14,$L$14))</f>
        <v>0</v>
      </c>
    </row>
    <row r="30" spans="1:8" x14ac:dyDescent="0.3">
      <c r="A30" s="12"/>
      <c r="B30" s="13"/>
      <c r="C30" s="14"/>
      <c r="D30" s="2">
        <f t="shared" si="0"/>
        <v>10416015.5</v>
      </c>
      <c r="F30" s="9" cm="1">
        <f t="array" ref="F30">+IF(E30=$K$11,0,_xlfn.IFS(E30=$K$12,$L$12,E30=$K$13,$L$13,E30=$K$14,$L$14))</f>
        <v>0</v>
      </c>
    </row>
    <row r="31" spans="1:8" x14ac:dyDescent="0.3">
      <c r="A31" s="12"/>
      <c r="B31" s="13"/>
      <c r="C31" s="14"/>
      <c r="D31" s="2">
        <f t="shared" si="0"/>
        <v>10416015.5</v>
      </c>
      <c r="F31" s="9" cm="1">
        <f t="array" ref="F31">+IF(E31=$K$11,0,_xlfn.IFS(E31=$K$12,$L$12,E31=$K$13,$L$13,E31=$K$14,$L$14))</f>
        <v>0</v>
      </c>
    </row>
    <row r="32" spans="1:8" x14ac:dyDescent="0.3">
      <c r="A32" s="12"/>
      <c r="B32" s="13"/>
      <c r="C32" s="14"/>
      <c r="D32" s="2">
        <f t="shared" si="0"/>
        <v>10416015.5</v>
      </c>
      <c r="F32" s="9" cm="1">
        <f t="array" ref="F32">+IF(E32=$K$11,0,_xlfn.IFS(E32=$K$12,$L$12,E32=$K$13,$L$13,E32=$K$14,$L$14))</f>
        <v>0</v>
      </c>
    </row>
    <row r="33" spans="1:6" x14ac:dyDescent="0.3">
      <c r="A33" s="12"/>
      <c r="B33" s="13"/>
      <c r="C33" s="14"/>
      <c r="D33" s="2">
        <f t="shared" si="0"/>
        <v>10416015.5</v>
      </c>
      <c r="F33" s="9" cm="1">
        <f t="array" ref="F33">+IF(E33=$K$11,0,_xlfn.IFS(E33=$K$12,$L$12,E33=$K$13,$L$13,E33=$K$14,$L$14))</f>
        <v>0</v>
      </c>
    </row>
    <row r="34" spans="1:6" x14ac:dyDescent="0.3">
      <c r="A34" s="12"/>
      <c r="B34" s="13"/>
      <c r="C34" s="14"/>
      <c r="D34" s="2">
        <f t="shared" si="0"/>
        <v>10416015.5</v>
      </c>
      <c r="F34" s="9" cm="1">
        <f t="array" ref="F34">+IF(E34=$K$11,0,_xlfn.IFS(E34=$K$12,$L$12,E34=$K$13,$L$13,E34=$K$14,$L$14))</f>
        <v>0</v>
      </c>
    </row>
    <row r="35" spans="1:6" x14ac:dyDescent="0.3">
      <c r="A35" s="12"/>
      <c r="B35" s="13"/>
      <c r="C35" s="14"/>
      <c r="D35" s="2">
        <f t="shared" si="0"/>
        <v>10416015.5</v>
      </c>
      <c r="F35" s="9" cm="1">
        <f t="array" ref="F35">+IF(E35=$K$11,0,_xlfn.IFS(E35=$K$12,$L$12,E35=$K$13,$L$13,E35=$K$14,$L$14))</f>
        <v>0</v>
      </c>
    </row>
    <row r="36" spans="1:6" x14ac:dyDescent="0.3">
      <c r="A36" s="12"/>
      <c r="B36" s="13"/>
      <c r="C36" s="14"/>
      <c r="D36" s="2">
        <f t="shared" si="0"/>
        <v>10416015.5</v>
      </c>
      <c r="F36" s="9" cm="1">
        <f t="array" ref="F36">+IF(E36=$K$11,0,_xlfn.IFS(E36=$K$12,$L$12,E36=$K$13,$L$13,E36=$K$14,$L$14))</f>
        <v>0</v>
      </c>
    </row>
    <row r="37" spans="1:6" x14ac:dyDescent="0.3">
      <c r="A37" s="12"/>
      <c r="B37" s="13"/>
      <c r="C37" s="14"/>
      <c r="D37" s="2">
        <f t="shared" si="0"/>
        <v>10416015.5</v>
      </c>
      <c r="F37" s="9" cm="1">
        <f t="array" ref="F37">+IF(E37=$K$11,0,_xlfn.IFS(E37=$K$12,$L$12,E37=$K$13,$L$13,E37=$K$14,$L$14))</f>
        <v>0</v>
      </c>
    </row>
    <row r="38" spans="1:6" x14ac:dyDescent="0.3">
      <c r="A38" s="15" t="s">
        <v>16</v>
      </c>
      <c r="B38" s="91" t="str">
        <f>+$B$2</f>
        <v>BAQ-XXXXX</v>
      </c>
      <c r="C38" s="16"/>
      <c r="D38" s="2">
        <f t="shared" si="0"/>
        <v>10416015.5</v>
      </c>
      <c r="E38" s="6" t="s">
        <v>12</v>
      </c>
      <c r="F38" s="9">
        <f>+SUM(F23:F37)+$D$18</f>
        <v>1950</v>
      </c>
    </row>
    <row r="39" spans="1:6" x14ac:dyDescent="0.3">
      <c r="A39" s="17" t="s">
        <v>17</v>
      </c>
      <c r="B39" s="92"/>
      <c r="C39" s="18"/>
      <c r="D39" s="2">
        <f t="shared" si="0"/>
        <v>10416015.5</v>
      </c>
      <c r="F39" s="9"/>
    </row>
    <row r="40" spans="1:6" x14ac:dyDescent="0.3">
      <c r="A40" s="17" t="s">
        <v>18</v>
      </c>
      <c r="B40" s="19" t="s">
        <v>19</v>
      </c>
      <c r="C40" s="18">
        <f>+$D$20</f>
        <v>119868</v>
      </c>
      <c r="D40" s="2">
        <f t="shared" si="0"/>
        <v>10296147.5</v>
      </c>
      <c r="F40" s="9"/>
    </row>
    <row r="41" spans="1:6" x14ac:dyDescent="0.3">
      <c r="A41" s="20" t="s">
        <v>20</v>
      </c>
      <c r="B41" s="21"/>
      <c r="C41" s="22">
        <f>+$F$38</f>
        <v>1950</v>
      </c>
      <c r="D41" s="2">
        <f>+D40-C41</f>
        <v>10294197.5</v>
      </c>
      <c r="F41" s="9"/>
    </row>
    <row r="42" spans="1:6" x14ac:dyDescent="0.3">
      <c r="C42" s="14"/>
    </row>
    <row r="44" spans="1:6" x14ac:dyDescent="0.3">
      <c r="A44" s="23" t="s">
        <v>14</v>
      </c>
      <c r="B44" s="24" t="str">
        <f>+$B$2</f>
        <v>BAQ-XXXXX</v>
      </c>
    </row>
    <row r="45" spans="1:6" x14ac:dyDescent="0.3">
      <c r="A45" s="25" t="s">
        <v>21</v>
      </c>
      <c r="B45" s="26" t="s">
        <v>47</v>
      </c>
    </row>
    <row r="46" spans="1:6" x14ac:dyDescent="0.3">
      <c r="A46" s="25" t="s">
        <v>12</v>
      </c>
      <c r="B46" s="27"/>
    </row>
    <row r="47" spans="1:6" x14ac:dyDescent="0.3">
      <c r="A47" s="47" t="str">
        <f>+IF($B$47&gt;0,"SALDO A FAVOR","SALDO A CARGO")</f>
        <v>SALDO A FAVOR</v>
      </c>
      <c r="B47" s="48">
        <f>+$B$20-$B$46</f>
        <v>29967000</v>
      </c>
      <c r="C47" s="6"/>
    </row>
    <row r="48" spans="1:6" x14ac:dyDescent="0.3">
      <c r="A48" s="23" t="s">
        <v>37</v>
      </c>
      <c r="B48" s="49" t="s">
        <v>41</v>
      </c>
    </row>
    <row r="49" spans="1:11" x14ac:dyDescent="0.3">
      <c r="A49" s="25" t="str">
        <f>+IF($A$47="SALDO A CARGO","TIPO DE RECAUDO","TIPO DE PAGO")</f>
        <v>TIPO DE PAGO</v>
      </c>
      <c r="B49" s="27"/>
    </row>
    <row r="50" spans="1:11" x14ac:dyDescent="0.3">
      <c r="A50" s="50"/>
      <c r="B50" s="51" cm="1">
        <f t="array" ref="B50">+IF($B$49=$K$7,0,_xlfn.IFS($B$49=$K$5,$L$5,$B$49=$K$6,$L$6,$B$49=$K$8,$L$8,$B$49=$K$9,$L$9,$B$49=$K$10,$L$10,$B$49=$K$12,$L$12,$B$49=$K$13,$L$13,$B$49=$K$14,$L$14))</f>
        <v>0</v>
      </c>
      <c r="C50" s="6"/>
    </row>
    <row r="51" spans="1:11" x14ac:dyDescent="0.3">
      <c r="A51" s="52" t="s">
        <v>22</v>
      </c>
      <c r="B51" s="53">
        <f>+IF($A$47="SALDO A FAVOR",($D$41-$B$47),IF($A$47="SALDO A CARGO",IF(ISNUMBER($B$48),IF($D$41&gt;0,ABS($B$47+$D$41),ABS($B$47-$D$41)),$D$41),""))</f>
        <v>-19672802.5</v>
      </c>
    </row>
    <row r="52" spans="1:11" x14ac:dyDescent="0.3">
      <c r="A52" s="23" t="s">
        <v>36</v>
      </c>
      <c r="B52" s="49" t="s">
        <v>41</v>
      </c>
    </row>
    <row r="53" spans="1:11" x14ac:dyDescent="0.3">
      <c r="A53" s="25" t="str">
        <f>+IF($A$47="SALDO A CARGO","TIPO DE RECAUDO","TIPO DE PAGO")</f>
        <v>TIPO DE PAGO</v>
      </c>
      <c r="B53" s="27"/>
    </row>
    <row r="54" spans="1:11" x14ac:dyDescent="0.3">
      <c r="A54" s="25"/>
      <c r="B54" s="27" cm="1">
        <f t="array" ref="B54">+IF(B53=$K$11,0,_xlfn.IFS(B53=$K$12,$L$12,B53=$K$13,$L$13,B53=$K$14,$L$14))</f>
        <v>0</v>
      </c>
    </row>
    <row r="55" spans="1:11" x14ac:dyDescent="0.3">
      <c r="A55" s="54"/>
      <c r="B55" s="51">
        <f>+$B$51-($B$50+$B$54)</f>
        <v>-19672802.5</v>
      </c>
    </row>
    <row r="57" spans="1:11" ht="17.399999999999999" x14ac:dyDescent="0.35">
      <c r="A57" s="42" t="s">
        <v>29</v>
      </c>
      <c r="B57" s="43" t="s">
        <v>14</v>
      </c>
      <c r="C57" s="43" t="s">
        <v>3</v>
      </c>
      <c r="D57" s="43" t="s">
        <v>38</v>
      </c>
      <c r="E57" s="43" t="s">
        <v>12</v>
      </c>
      <c r="F57" s="43" t="s">
        <v>15</v>
      </c>
      <c r="G57" s="43" t="s">
        <v>31</v>
      </c>
      <c r="H57" s="44" t="s">
        <v>30</v>
      </c>
      <c r="I57" s="63" t="s">
        <v>42</v>
      </c>
      <c r="J57" s="63" t="s">
        <v>31</v>
      </c>
      <c r="K57" s="64" t="s">
        <v>30</v>
      </c>
    </row>
    <row r="58" spans="1:11" x14ac:dyDescent="0.3">
      <c r="A58" s="55" t="str">
        <f>+$A$2</f>
        <v>DO.CTG26-0174</v>
      </c>
      <c r="B58" s="39" t="str">
        <f>+$B$2</f>
        <v>BAQ-XXXXX</v>
      </c>
      <c r="C58" s="56">
        <f>+$B$20</f>
        <v>29967000</v>
      </c>
      <c r="D58" s="57" t="str">
        <f>+$B$45</f>
        <v>XX/XX/2026</v>
      </c>
      <c r="E58" s="56">
        <f>+$B$46</f>
        <v>0</v>
      </c>
      <c r="F58" s="56">
        <f>+$B$47</f>
        <v>29967000</v>
      </c>
      <c r="G58" s="39" t="str">
        <f>+IF(F58&gt;0,"SALDO A FAVOR","SALDO A CARGO")</f>
        <v>SALDO A FAVOR</v>
      </c>
      <c r="H58" s="58" t="str">
        <f>+$B$48</f>
        <v>X</v>
      </c>
      <c r="I58" s="55">
        <f>+$B$55</f>
        <v>-19672802.5</v>
      </c>
      <c r="J58" s="39" t="str">
        <f>+IF($B$55&gt;0,"SALDO A FAVOR","SALDO A CARGO")</f>
        <v>SALDO A CARGO</v>
      </c>
      <c r="K58" s="58" t="str">
        <f>+$B$52</f>
        <v>X</v>
      </c>
    </row>
  </sheetData>
  <mergeCells count="2">
    <mergeCell ref="K3:L3"/>
    <mergeCell ref="B38:B39"/>
  </mergeCells>
  <conditionalFormatting sqref="A23:C23">
    <cfRule type="expression" dxfId="24" priority="21">
      <formula>$E$23="PSE"</formula>
    </cfRule>
  </conditionalFormatting>
  <conditionalFormatting sqref="A24:C24">
    <cfRule type="expression" dxfId="23" priority="20">
      <formula>$E$24="PSE"</formula>
    </cfRule>
  </conditionalFormatting>
  <conditionalFormatting sqref="A25:C25">
    <cfRule type="expression" dxfId="22" priority="19">
      <formula>$E$25="PSE"</formula>
    </cfRule>
  </conditionalFormatting>
  <conditionalFormatting sqref="A26:C26">
    <cfRule type="expression" dxfId="21" priority="18">
      <formula>$E$26="PSE"</formula>
    </cfRule>
  </conditionalFormatting>
  <conditionalFormatting sqref="A27:C27">
    <cfRule type="expression" dxfId="20" priority="17">
      <formula>$E$27="PSE"</formula>
    </cfRule>
  </conditionalFormatting>
  <conditionalFormatting sqref="A28:C28">
    <cfRule type="expression" dxfId="19" priority="16">
      <formula>$E$28="PSE"</formula>
    </cfRule>
  </conditionalFormatting>
  <conditionalFormatting sqref="A29:C29">
    <cfRule type="expression" dxfId="18" priority="15">
      <formula>$E$29="PSE"</formula>
    </cfRule>
  </conditionalFormatting>
  <conditionalFormatting sqref="A30:C30">
    <cfRule type="expression" dxfId="17" priority="14">
      <formula>$E$30="PSE"</formula>
    </cfRule>
  </conditionalFormatting>
  <conditionalFormatting sqref="A31:C31">
    <cfRule type="expression" dxfId="16" priority="13">
      <formula>$E$31="PSE"</formula>
    </cfRule>
  </conditionalFormatting>
  <conditionalFormatting sqref="A32:C32">
    <cfRule type="expression" dxfId="15" priority="12">
      <formula>$E$32="PSE"</formula>
    </cfRule>
  </conditionalFormatting>
  <conditionalFormatting sqref="A33:C33">
    <cfRule type="expression" dxfId="14" priority="11">
      <formula>$E$33="PSE"</formula>
    </cfRule>
  </conditionalFormatting>
  <conditionalFormatting sqref="A34:C34">
    <cfRule type="expression" dxfId="13" priority="10">
      <formula>$E$34="PSE"</formula>
    </cfRule>
  </conditionalFormatting>
  <conditionalFormatting sqref="A35:C35">
    <cfRule type="expression" dxfId="12" priority="9">
      <formula>$E$35="PSE"</formula>
    </cfRule>
  </conditionalFormatting>
  <conditionalFormatting sqref="A36:C36">
    <cfRule type="expression" dxfId="11" priority="8">
      <formula>$E$36="PSE"</formula>
    </cfRule>
  </conditionalFormatting>
  <conditionalFormatting sqref="A37:C37">
    <cfRule type="expression" dxfId="10" priority="7">
      <formula>$E$37="PSE"</formula>
    </cfRule>
  </conditionalFormatting>
  <conditionalFormatting sqref="B51">
    <cfRule type="cellIs" dxfId="9" priority="22" operator="lessThan">
      <formula>0</formula>
    </cfRule>
    <cfRule type="cellIs" dxfId="8" priority="23" operator="greaterThan">
      <formula>0</formula>
    </cfRule>
  </conditionalFormatting>
  <conditionalFormatting sqref="B55">
    <cfRule type="cellIs" dxfId="7" priority="5" operator="greaterThan">
      <formula>0</formula>
    </cfRule>
    <cfRule type="cellIs" dxfId="6" priority="6" operator="lessThan">
      <formula>0</formula>
    </cfRule>
  </conditionalFormatting>
  <conditionalFormatting sqref="D23:D41 B47">
    <cfRule type="cellIs" dxfId="5" priority="24" operator="lessThan">
      <formula>0</formula>
    </cfRule>
    <cfRule type="cellIs" dxfId="4" priority="25" operator="greaterThan">
      <formula>0</formula>
    </cfRule>
  </conditionalFormatting>
  <conditionalFormatting sqref="F58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I58">
    <cfRule type="cellIs" dxfId="1" priority="1" operator="lessThan">
      <formula>0</formula>
    </cfRule>
    <cfRule type="cellIs" dxfId="0" priority="2" operator="greaterThan">
      <formula>0</formula>
    </cfRule>
  </conditionalFormatting>
  <dataValidations count="4">
    <dataValidation type="list" showInputMessage="1" showErrorMessage="1" sqref="B49" xr:uid="{DEE1443B-1E4C-4755-9BF9-31E272ECC95E}">
      <formula1>$K$5:$K$14</formula1>
    </dataValidation>
    <dataValidation type="list" allowBlank="1" showInputMessage="1" showErrorMessage="1" sqref="B53" xr:uid="{3FAFE91F-10B3-455C-A99B-2AD3A81DB0BC}">
      <formula1>$K$12:$K$14</formula1>
    </dataValidation>
    <dataValidation type="list" showInputMessage="1" showErrorMessage="1" sqref="E23:E37 E39:E41" xr:uid="{951A358C-90A8-4551-892A-BEF9635B65A1}">
      <formula1>$K$12:$K$14</formula1>
    </dataValidation>
    <dataValidation type="list" allowBlank="1" showInputMessage="1" showErrorMessage="1" sqref="C5:C17" xr:uid="{3E161C55-E110-4AFB-AC95-3BCEDCDA7C89}">
      <formula1>$K$5:$K$10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FF5F9-9BDD-49D2-B7BB-A34E67C51A75}">
  <dimension ref="A1:T20"/>
  <sheetViews>
    <sheetView topLeftCell="O1" workbookViewId="0">
      <selection activeCell="V15" sqref="V15"/>
    </sheetView>
  </sheetViews>
  <sheetFormatPr baseColWidth="10" defaultRowHeight="14.4" x14ac:dyDescent="0.3"/>
  <cols>
    <col min="1" max="2" width="1.109375" hidden="1" customWidth="1"/>
    <col min="3" max="4" width="1.33203125" hidden="1" customWidth="1"/>
    <col min="5" max="5" width="1.44140625" hidden="1" customWidth="1"/>
    <col min="6" max="6" width="1" hidden="1" customWidth="1"/>
    <col min="7" max="7" width="1.109375" hidden="1" customWidth="1"/>
    <col min="8" max="8" width="1" hidden="1" customWidth="1"/>
    <col min="9" max="9" width="1.109375" hidden="1" customWidth="1"/>
    <col min="10" max="10" width="1.44140625" hidden="1" customWidth="1"/>
    <col min="11" max="14" width="0" hidden="1" customWidth="1"/>
    <col min="16" max="16" width="16.6640625" style="81" bestFit="1" customWidth="1"/>
    <col min="17" max="17" width="11.44140625" style="74"/>
    <col min="18" max="18" width="14.6640625" style="74" customWidth="1"/>
    <col min="19" max="20" width="15.5546875" style="74" bestFit="1" customWidth="1"/>
    <col min="22" max="22" width="15.5546875" bestFit="1" customWidth="1"/>
    <col min="25" max="25" width="15.5546875" bestFit="1" customWidth="1"/>
    <col min="26" max="26" width="14.5546875" bestFit="1" customWidth="1"/>
  </cols>
  <sheetData>
    <row r="1" spans="16:20" x14ac:dyDescent="0.3">
      <c r="P1" s="79"/>
      <c r="Q1" s="77"/>
      <c r="R1" s="77"/>
      <c r="S1" s="77"/>
      <c r="T1" s="77"/>
    </row>
    <row r="2" spans="16:20" x14ac:dyDescent="0.3">
      <c r="P2" s="76" t="s">
        <v>3</v>
      </c>
      <c r="Q2" s="73" t="s">
        <v>21</v>
      </c>
      <c r="R2" s="73" t="s">
        <v>29</v>
      </c>
      <c r="S2" s="73" t="s">
        <v>45</v>
      </c>
      <c r="T2" s="73" t="s">
        <v>46</v>
      </c>
    </row>
    <row r="3" spans="16:20" x14ac:dyDescent="0.3">
      <c r="P3" s="80">
        <v>30000000</v>
      </c>
      <c r="Q3" s="78">
        <v>46060</v>
      </c>
      <c r="R3" s="74" t="s">
        <v>56</v>
      </c>
      <c r="S3" s="75">
        <f>+'CTG26-0028'!B5</f>
        <v>28992000</v>
      </c>
      <c r="T3" s="75">
        <f>+P3-S3</f>
        <v>1008000</v>
      </c>
    </row>
    <row r="4" spans="16:20" x14ac:dyDescent="0.3">
      <c r="Q4" s="78"/>
      <c r="R4" s="74" t="s">
        <v>59</v>
      </c>
      <c r="S4" s="75">
        <f>+'CTG26-0032'!B5</f>
        <v>1008000</v>
      </c>
      <c r="T4" s="75">
        <f>+T3-S4</f>
        <v>0</v>
      </c>
    </row>
    <row r="5" spans="16:20" x14ac:dyDescent="0.3">
      <c r="P5" s="83">
        <v>30000000</v>
      </c>
      <c r="Q5" s="84">
        <v>46060</v>
      </c>
      <c r="R5" s="85" t="s">
        <v>57</v>
      </c>
      <c r="S5" s="86">
        <f>+'CTG26-0033'!B5</f>
        <v>28992000</v>
      </c>
      <c r="T5" s="86">
        <f>+P5-S5</f>
        <v>1008000</v>
      </c>
    </row>
    <row r="6" spans="16:20" x14ac:dyDescent="0.3">
      <c r="P6" s="83"/>
      <c r="Q6" s="84"/>
      <c r="R6" s="85" t="s">
        <v>59</v>
      </c>
      <c r="S6" s="86">
        <f>+'CTG26-0032'!B6</f>
        <v>1008000</v>
      </c>
      <c r="T6" s="86">
        <f>+T5-S6</f>
        <v>0</v>
      </c>
    </row>
    <row r="7" spans="16:20" x14ac:dyDescent="0.3">
      <c r="P7" s="81">
        <v>47211700</v>
      </c>
      <c r="Q7" s="78">
        <v>46062</v>
      </c>
      <c r="R7" s="74" t="s">
        <v>58</v>
      </c>
      <c r="S7" s="75">
        <f>+'BUN26-0026'!B5</f>
        <v>45226000</v>
      </c>
      <c r="T7" s="75">
        <f>+P7-S7</f>
        <v>1985700</v>
      </c>
    </row>
    <row r="8" spans="16:20" x14ac:dyDescent="0.3">
      <c r="Q8" s="78"/>
      <c r="R8" s="74" t="s">
        <v>59</v>
      </c>
      <c r="S8" s="75">
        <f>+'CTG26-0032'!B8</f>
        <v>1985700</v>
      </c>
      <c r="T8" s="75">
        <f>+T7-S8</f>
        <v>0</v>
      </c>
    </row>
    <row r="9" spans="16:20" x14ac:dyDescent="0.3">
      <c r="P9" s="83">
        <v>35430740</v>
      </c>
      <c r="Q9" s="84">
        <v>46099</v>
      </c>
      <c r="R9" s="85" t="s">
        <v>105</v>
      </c>
      <c r="S9" s="86">
        <f>+'CTG26-0079'!B5</f>
        <v>34604740</v>
      </c>
      <c r="T9" s="86">
        <f>+P9-S9</f>
        <v>826000</v>
      </c>
    </row>
    <row r="10" spans="16:20" x14ac:dyDescent="0.3">
      <c r="P10" s="83"/>
      <c r="Q10" s="85"/>
      <c r="R10" s="85" t="s">
        <v>107</v>
      </c>
      <c r="S10" s="86">
        <f>+'CTG26-0078'!B6</f>
        <v>826000</v>
      </c>
      <c r="T10" s="86">
        <f>+T9-S10</f>
        <v>0</v>
      </c>
    </row>
    <row r="11" spans="16:20" x14ac:dyDescent="0.3">
      <c r="P11" s="81">
        <v>100742180</v>
      </c>
      <c r="Q11" s="78">
        <v>46118</v>
      </c>
      <c r="R11" s="74" t="s">
        <v>124</v>
      </c>
      <c r="S11" s="75">
        <f>+'CTG26-0090'!B5</f>
        <v>31922180</v>
      </c>
      <c r="T11" s="75">
        <f>+P11-S11</f>
        <v>68820000</v>
      </c>
    </row>
    <row r="12" spans="16:20" x14ac:dyDescent="0.3">
      <c r="R12" s="74" t="s">
        <v>123</v>
      </c>
      <c r="S12" s="75">
        <f>+'CTG26-0098'!B5</f>
        <v>34411000</v>
      </c>
      <c r="T12" s="75">
        <f>+T11-S12</f>
        <v>34409000</v>
      </c>
    </row>
    <row r="13" spans="16:20" x14ac:dyDescent="0.3">
      <c r="R13" s="74" t="s">
        <v>125</v>
      </c>
      <c r="S13" s="75">
        <f>+'CTG26-0099'!B5</f>
        <v>34409000</v>
      </c>
      <c r="T13" s="75">
        <f>+T12-S13</f>
        <v>0</v>
      </c>
    </row>
    <row r="14" spans="16:20" x14ac:dyDescent="0.3">
      <c r="P14" s="83">
        <v>88556000</v>
      </c>
      <c r="Q14" s="84">
        <v>46126</v>
      </c>
      <c r="R14" s="85" t="s">
        <v>150</v>
      </c>
      <c r="S14" s="86">
        <f>+'CTG26-0105'!B5</f>
        <v>30789000</v>
      </c>
      <c r="T14" s="86">
        <f>+P14-S14</f>
        <v>57767000</v>
      </c>
    </row>
    <row r="15" spans="16:20" x14ac:dyDescent="0.3">
      <c r="P15" s="83"/>
      <c r="Q15" s="85"/>
      <c r="R15" s="85" t="s">
        <v>151</v>
      </c>
      <c r="S15" s="86">
        <f>+'CTG26-0106'!B5</f>
        <v>29586000</v>
      </c>
      <c r="T15" s="86">
        <f>+T14-S15</f>
        <v>28181000</v>
      </c>
    </row>
    <row r="16" spans="16:20" x14ac:dyDescent="0.3">
      <c r="P16" s="83"/>
      <c r="Q16" s="85"/>
      <c r="R16" s="85" t="s">
        <v>152</v>
      </c>
      <c r="S16" s="86">
        <f>+'CTG26-0111'!B5</f>
        <v>28181000</v>
      </c>
      <c r="T16" s="86">
        <f>+T15-S16</f>
        <v>0</v>
      </c>
    </row>
    <row r="17" spans="16:20" x14ac:dyDescent="0.3">
      <c r="P17" s="81">
        <v>72157000</v>
      </c>
      <c r="Q17" s="78">
        <v>46156</v>
      </c>
      <c r="R17" s="74" t="s">
        <v>228</v>
      </c>
      <c r="S17" s="75">
        <f>+'CTG26-0141'!B5</f>
        <v>35777500</v>
      </c>
      <c r="T17" s="75">
        <f>+P17-S17</f>
        <v>36379500</v>
      </c>
    </row>
    <row r="18" spans="16:20" x14ac:dyDescent="0.3">
      <c r="R18" s="74" t="s">
        <v>229</v>
      </c>
      <c r="S18" s="75">
        <f>+'CTG26-0142'!B5</f>
        <v>36379500</v>
      </c>
      <c r="T18" s="75">
        <f>+T17-S18</f>
        <v>0</v>
      </c>
    </row>
    <row r="19" spans="16:20" x14ac:dyDescent="0.3">
      <c r="P19" s="83">
        <v>71500000</v>
      </c>
      <c r="Q19" s="84">
        <v>46161</v>
      </c>
      <c r="R19" s="85" t="s">
        <v>233</v>
      </c>
      <c r="S19" s="86">
        <f>+'CTG26-0150'!B5</f>
        <v>35248000</v>
      </c>
      <c r="T19" s="86">
        <f>+P19-S19</f>
        <v>36252000</v>
      </c>
    </row>
    <row r="20" spans="16:20" x14ac:dyDescent="0.3">
      <c r="P20" s="83"/>
      <c r="Q20" s="85"/>
      <c r="R20" s="85" t="s">
        <v>234</v>
      </c>
      <c r="S20" s="86">
        <f>+'CTG26-0151'!B5</f>
        <v>36252000</v>
      </c>
      <c r="T20" s="86">
        <f>+T19-S20</f>
        <v>0</v>
      </c>
    </row>
  </sheetData>
  <pageMargins left="0.7" right="0.7" top="0.75" bottom="0.75" header="0.3" footer="0.3"/>
  <ignoredErrors>
    <ignoredError sqref="T4:T11 T14 T17:T19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38E4E-571A-49ED-9F86-DD3A1A80CFF4}">
  <sheetPr codeName="Hoja2"/>
  <dimension ref="A1:N33"/>
  <sheetViews>
    <sheetView workbookViewId="0">
      <selection activeCell="C22" sqref="C22"/>
    </sheetView>
  </sheetViews>
  <sheetFormatPr baseColWidth="10" defaultColWidth="11.44140625" defaultRowHeight="14.4" x14ac:dyDescent="0.3"/>
  <cols>
    <col min="1" max="1" width="23.33203125" style="36" customWidth="1"/>
    <col min="2" max="2" width="34.44140625" style="38" customWidth="1"/>
    <col min="3" max="3" width="17.44140625" style="38" customWidth="1"/>
    <col min="4" max="4" width="11.44140625" style="38"/>
    <col min="5" max="5" width="14" style="38" bestFit="1" customWidth="1"/>
    <col min="6" max="6" width="14" style="39" bestFit="1" customWidth="1"/>
    <col min="7" max="7" width="21.6640625" style="38" bestFit="1" customWidth="1"/>
    <col min="8" max="8" width="16.6640625" style="65" customWidth="1"/>
    <col min="9" max="9" width="14.6640625" style="37" bestFit="1" customWidth="1"/>
    <col min="10" max="10" width="21.6640625" style="68" bestFit="1" customWidth="1"/>
    <col min="11" max="11" width="14.5546875" style="69" customWidth="1"/>
    <col min="12" max="12" width="11.44140625" style="36"/>
    <col min="13" max="13" width="14.109375" style="36" customWidth="1"/>
    <col min="14" max="14" width="40.88671875" style="36" customWidth="1"/>
    <col min="15" max="16384" width="11.44140625" style="36"/>
  </cols>
  <sheetData>
    <row r="1" spans="1:14" ht="31.5" customHeight="1" x14ac:dyDescent="0.5">
      <c r="A1" s="35" t="s">
        <v>0</v>
      </c>
      <c r="B1" s="35" t="s">
        <v>23</v>
      </c>
      <c r="C1" s="36"/>
      <c r="D1" s="36"/>
      <c r="E1" s="36"/>
      <c r="F1" s="36"/>
      <c r="G1" s="36"/>
      <c r="H1" s="61"/>
      <c r="I1" s="66"/>
      <c r="J1" s="36"/>
      <c r="K1" s="36"/>
    </row>
    <row r="2" spans="1:14" x14ac:dyDescent="0.3">
      <c r="B2" s="36"/>
      <c r="C2" s="36"/>
      <c r="D2" s="36"/>
      <c r="E2" s="36"/>
      <c r="F2" s="36"/>
      <c r="G2" s="36"/>
      <c r="H2" s="61"/>
      <c r="I2" s="66"/>
      <c r="J2" s="36"/>
      <c r="K2" s="36"/>
    </row>
    <row r="3" spans="1:14" ht="17.399999999999999" x14ac:dyDescent="0.35">
      <c r="A3" s="42" t="s">
        <v>29</v>
      </c>
      <c r="B3" s="43" t="s">
        <v>14</v>
      </c>
      <c r="C3" s="43" t="s">
        <v>3</v>
      </c>
      <c r="D3" s="43" t="s">
        <v>21</v>
      </c>
      <c r="E3" s="43" t="s">
        <v>12</v>
      </c>
      <c r="F3" s="43" t="s">
        <v>15</v>
      </c>
      <c r="G3" s="43" t="s">
        <v>31</v>
      </c>
      <c r="H3" s="62" t="s">
        <v>30</v>
      </c>
      <c r="I3" s="63" t="s">
        <v>42</v>
      </c>
      <c r="J3" s="63" t="s">
        <v>31</v>
      </c>
      <c r="K3" s="64" t="s">
        <v>30</v>
      </c>
      <c r="M3" s="70" t="s">
        <v>12</v>
      </c>
      <c r="N3" s="71" t="str">
        <f>+$B$1</f>
        <v>NOMBRE</v>
      </c>
    </row>
    <row r="4" spans="1:14" ht="17.399999999999999" x14ac:dyDescent="0.35">
      <c r="A4" s="37" t="s">
        <v>40</v>
      </c>
      <c r="B4" s="38" t="s">
        <v>28</v>
      </c>
      <c r="C4" s="59">
        <v>0</v>
      </c>
      <c r="D4" s="38" t="s">
        <v>47</v>
      </c>
      <c r="E4" s="59">
        <v>0</v>
      </c>
      <c r="F4" s="60">
        <v>0</v>
      </c>
      <c r="G4" s="38" t="s">
        <v>39</v>
      </c>
      <c r="H4" s="65" t="s">
        <v>41</v>
      </c>
      <c r="I4" s="67">
        <v>0</v>
      </c>
      <c r="J4" s="68" t="s">
        <v>39</v>
      </c>
      <c r="K4" s="69" t="s">
        <v>41</v>
      </c>
      <c r="M4" s="41" t="s">
        <v>32</v>
      </c>
      <c r="N4" s="40">
        <f>+SUMIFS(F4:F200,G4:G200,"SALDO A CARGO",H4:H200,"X",B4:B200,"&lt;&gt;BAQ-XXXXX")</f>
        <v>-21108818</v>
      </c>
    </row>
    <row r="5" spans="1:14" ht="17.399999999999999" x14ac:dyDescent="0.35">
      <c r="A5" s="37" t="s">
        <v>52</v>
      </c>
      <c r="B5" s="38" t="s">
        <v>87</v>
      </c>
      <c r="C5" s="59">
        <v>45226000</v>
      </c>
      <c r="D5" s="65">
        <v>46074</v>
      </c>
      <c r="E5" s="59">
        <v>41868042</v>
      </c>
      <c r="F5" s="60">
        <v>3357958</v>
      </c>
      <c r="G5" s="38" t="s">
        <v>61</v>
      </c>
      <c r="H5" s="65" t="s">
        <v>41</v>
      </c>
      <c r="I5" s="67">
        <v>875944</v>
      </c>
      <c r="J5" s="68" t="s">
        <v>61</v>
      </c>
      <c r="K5" s="69" t="s">
        <v>41</v>
      </c>
      <c r="M5" s="41" t="s">
        <v>33</v>
      </c>
      <c r="N5" s="40">
        <f>+SUMIFS(F4:F200,G4:G200,"SALDO A FAVOR",H4:H200,"X",B4:B200,"&lt;&gt;BAQ-XXXXX")</f>
        <v>33195556</v>
      </c>
    </row>
    <row r="6" spans="1:14" ht="17.399999999999999" x14ac:dyDescent="0.35">
      <c r="A6" s="37" t="s">
        <v>202</v>
      </c>
      <c r="B6" s="38" t="s">
        <v>225</v>
      </c>
      <c r="C6" s="59">
        <v>45589000</v>
      </c>
      <c r="D6" s="65" t="s">
        <v>226</v>
      </c>
      <c r="E6" s="59">
        <v>41552788</v>
      </c>
      <c r="F6" s="60">
        <v>4036212</v>
      </c>
      <c r="G6" s="38" t="s">
        <v>61</v>
      </c>
      <c r="H6" s="65" t="s">
        <v>41</v>
      </c>
      <c r="I6" s="67">
        <v>1033822</v>
      </c>
      <c r="J6" s="68" t="s">
        <v>61</v>
      </c>
      <c r="K6" s="69" t="s">
        <v>41</v>
      </c>
      <c r="M6" s="41" t="s">
        <v>44</v>
      </c>
      <c r="N6" s="72">
        <f>+N5+N4</f>
        <v>12086738</v>
      </c>
    </row>
    <row r="7" spans="1:14" x14ac:dyDescent="0.3">
      <c r="A7" s="37" t="s">
        <v>49</v>
      </c>
      <c r="B7" s="38" t="s">
        <v>88</v>
      </c>
      <c r="C7" s="59">
        <v>28992000</v>
      </c>
      <c r="D7" s="65">
        <v>46079</v>
      </c>
      <c r="E7" s="59">
        <v>26347628</v>
      </c>
      <c r="F7" s="60">
        <v>2644372</v>
      </c>
      <c r="G7" s="38" t="s">
        <v>61</v>
      </c>
      <c r="H7" s="65" t="s">
        <v>41</v>
      </c>
      <c r="I7" s="67">
        <v>-84240.8</v>
      </c>
      <c r="J7" s="68" t="s">
        <v>39</v>
      </c>
      <c r="K7" s="69" t="s">
        <v>41</v>
      </c>
    </row>
    <row r="8" spans="1:14" ht="17.399999999999999" x14ac:dyDescent="0.35">
      <c r="A8" s="37" t="s">
        <v>51</v>
      </c>
      <c r="B8" s="38" t="s">
        <v>85</v>
      </c>
      <c r="C8" s="59">
        <v>34001700</v>
      </c>
      <c r="D8" s="65">
        <v>46074</v>
      </c>
      <c r="E8" s="59">
        <v>30592159</v>
      </c>
      <c r="F8" s="60">
        <v>3409541</v>
      </c>
      <c r="G8" s="38" t="s">
        <v>61</v>
      </c>
      <c r="H8" s="65" t="s">
        <v>41</v>
      </c>
      <c r="I8" s="67">
        <v>-80068.800000000003</v>
      </c>
      <c r="J8" s="68" t="s">
        <v>39</v>
      </c>
      <c r="K8" s="69" t="s">
        <v>41</v>
      </c>
      <c r="M8" s="94" t="s">
        <v>43</v>
      </c>
      <c r="N8" s="95"/>
    </row>
    <row r="9" spans="1:14" ht="17.399999999999999" x14ac:dyDescent="0.35">
      <c r="A9" s="37" t="s">
        <v>53</v>
      </c>
      <c r="B9" s="38" t="s">
        <v>86</v>
      </c>
      <c r="C9" s="59">
        <v>28992000</v>
      </c>
      <c r="D9" s="65">
        <v>46074</v>
      </c>
      <c r="E9" s="59">
        <v>25804839</v>
      </c>
      <c r="F9" s="60">
        <v>3187161</v>
      </c>
      <c r="G9" s="38" t="s">
        <v>61</v>
      </c>
      <c r="H9" s="65" t="s">
        <v>41</v>
      </c>
      <c r="I9" s="67">
        <v>70897.3</v>
      </c>
      <c r="J9" s="68" t="s">
        <v>61</v>
      </c>
      <c r="K9" s="69" t="s">
        <v>41</v>
      </c>
      <c r="M9" s="41" t="s">
        <v>32</v>
      </c>
      <c r="N9" s="40">
        <f>+SUMIFS(I4:I200,J4:J200,"SALDO A CARGO",K4:K200,"X",B4:B200,"&lt;&gt;BAQ-XXXXX")</f>
        <v>-24842034.530000001</v>
      </c>
    </row>
    <row r="10" spans="1:14" ht="17.399999999999999" x14ac:dyDescent="0.35">
      <c r="A10" s="37" t="s">
        <v>94</v>
      </c>
      <c r="B10" s="38" t="s">
        <v>103</v>
      </c>
      <c r="C10" s="59">
        <v>27766000</v>
      </c>
      <c r="D10" s="65">
        <v>45734</v>
      </c>
      <c r="E10" s="59">
        <v>30722282</v>
      </c>
      <c r="F10" s="60">
        <v>-2956282</v>
      </c>
      <c r="G10" s="38" t="s">
        <v>39</v>
      </c>
      <c r="H10" s="65" t="s">
        <v>41</v>
      </c>
      <c r="I10" s="67">
        <v>-1532005.03</v>
      </c>
      <c r="J10" s="68" t="s">
        <v>39</v>
      </c>
      <c r="K10" s="69" t="s">
        <v>41</v>
      </c>
      <c r="M10" s="41" t="s">
        <v>33</v>
      </c>
      <c r="N10" s="40">
        <f>+SUMIFS(I4:I200,J4:J200,"SALDO A FAVOR",K4:K200,"X",B4:B200,"&lt;&gt;BAQ-XXXXX")</f>
        <v>2604833.36</v>
      </c>
    </row>
    <row r="11" spans="1:14" ht="17.399999999999999" x14ac:dyDescent="0.35">
      <c r="A11" s="37" t="s">
        <v>89</v>
      </c>
      <c r="B11" s="38" t="s">
        <v>104</v>
      </c>
      <c r="C11" s="59">
        <v>33496000</v>
      </c>
      <c r="D11" s="65">
        <v>46099</v>
      </c>
      <c r="E11" s="59">
        <v>32281601</v>
      </c>
      <c r="F11" s="60">
        <v>1214399</v>
      </c>
      <c r="G11" s="38" t="s">
        <v>61</v>
      </c>
      <c r="H11" s="65" t="s">
        <v>41</v>
      </c>
      <c r="I11" s="67">
        <v>-114015</v>
      </c>
      <c r="J11" s="68" t="s">
        <v>39</v>
      </c>
      <c r="K11" s="69" t="s">
        <v>41</v>
      </c>
      <c r="M11" s="41" t="s">
        <v>44</v>
      </c>
      <c r="N11" s="72">
        <f>+N10+N9</f>
        <v>-22237201.170000002</v>
      </c>
    </row>
    <row r="12" spans="1:14" x14ac:dyDescent="0.3">
      <c r="A12" s="37" t="s">
        <v>115</v>
      </c>
      <c r="B12" s="38" t="s">
        <v>120</v>
      </c>
      <c r="C12" s="59">
        <v>34322000</v>
      </c>
      <c r="D12" s="65">
        <v>46110</v>
      </c>
      <c r="E12" s="59">
        <v>31626593</v>
      </c>
      <c r="F12" s="60">
        <v>2695407</v>
      </c>
      <c r="G12" s="38" t="s">
        <v>61</v>
      </c>
      <c r="H12" s="65" t="s">
        <v>41</v>
      </c>
      <c r="I12" s="67">
        <v>70071</v>
      </c>
      <c r="J12" s="68" t="s">
        <v>61</v>
      </c>
      <c r="K12" s="69" t="s">
        <v>41</v>
      </c>
    </row>
    <row r="13" spans="1:14" x14ac:dyDescent="0.3">
      <c r="A13" s="37" t="s">
        <v>106</v>
      </c>
      <c r="B13" s="38" t="s">
        <v>121</v>
      </c>
      <c r="C13" s="59">
        <v>34604740</v>
      </c>
      <c r="D13" s="65">
        <v>46110</v>
      </c>
      <c r="E13" s="59">
        <v>31405713</v>
      </c>
      <c r="F13" s="60">
        <v>3199027</v>
      </c>
      <c r="G13" s="38" t="s">
        <v>61</v>
      </c>
      <c r="H13" s="65" t="s">
        <v>41</v>
      </c>
      <c r="I13" s="67">
        <v>68060.039999999994</v>
      </c>
      <c r="J13" s="68" t="s">
        <v>61</v>
      </c>
      <c r="K13" s="69" t="s">
        <v>41</v>
      </c>
    </row>
    <row r="14" spans="1:14" x14ac:dyDescent="0.3">
      <c r="A14" s="37" t="s">
        <v>126</v>
      </c>
      <c r="B14" s="38" t="s">
        <v>163</v>
      </c>
      <c r="C14" s="59">
        <v>31922180</v>
      </c>
      <c r="D14" s="65">
        <v>46134</v>
      </c>
      <c r="E14" s="59">
        <v>34119133</v>
      </c>
      <c r="F14" s="60">
        <v>-2196953</v>
      </c>
      <c r="G14" s="38" t="s">
        <v>39</v>
      </c>
      <c r="H14" s="65" t="s">
        <v>41</v>
      </c>
      <c r="I14" s="67">
        <v>-2357787.5299999998</v>
      </c>
      <c r="J14" s="68" t="s">
        <v>39</v>
      </c>
      <c r="K14" s="69" t="s">
        <v>41</v>
      </c>
    </row>
    <row r="15" spans="1:14" x14ac:dyDescent="0.3">
      <c r="A15" s="37" t="s">
        <v>122</v>
      </c>
      <c r="B15" s="38" t="s">
        <v>165</v>
      </c>
      <c r="C15" s="59">
        <v>34411000</v>
      </c>
      <c r="D15" s="65">
        <v>46134</v>
      </c>
      <c r="E15" s="59">
        <v>34235758</v>
      </c>
      <c r="F15" s="60">
        <v>175242</v>
      </c>
      <c r="G15" s="38" t="s">
        <v>61</v>
      </c>
      <c r="H15" s="65" t="s">
        <v>41</v>
      </c>
      <c r="I15" s="67">
        <v>19316</v>
      </c>
      <c r="J15" s="68" t="s">
        <v>61</v>
      </c>
      <c r="K15" s="69" t="s">
        <v>41</v>
      </c>
    </row>
    <row r="16" spans="1:14" x14ac:dyDescent="0.3">
      <c r="A16" s="37" t="s">
        <v>127</v>
      </c>
      <c r="B16" s="38" t="s">
        <v>164</v>
      </c>
      <c r="C16" s="59">
        <v>34409000</v>
      </c>
      <c r="D16" s="65">
        <v>46134</v>
      </c>
      <c r="E16" s="59">
        <v>35616375</v>
      </c>
      <c r="F16" s="60">
        <v>-1207375</v>
      </c>
      <c r="G16" s="38" t="s">
        <v>39</v>
      </c>
      <c r="H16" s="65" t="s">
        <v>41</v>
      </c>
      <c r="I16" s="67">
        <v>-1298210.5</v>
      </c>
      <c r="J16" s="68" t="s">
        <v>39</v>
      </c>
      <c r="K16" s="69" t="s">
        <v>41</v>
      </c>
    </row>
    <row r="17" spans="1:11" x14ac:dyDescent="0.3">
      <c r="A17" s="37" t="s">
        <v>148</v>
      </c>
      <c r="B17" s="38" t="s">
        <v>179</v>
      </c>
      <c r="C17" s="59">
        <v>30789000</v>
      </c>
      <c r="D17" s="65">
        <v>46140</v>
      </c>
      <c r="E17" s="59">
        <v>31206996</v>
      </c>
      <c r="F17" s="60">
        <v>-417996</v>
      </c>
      <c r="G17" s="38" t="s">
        <v>39</v>
      </c>
      <c r="H17" s="65" t="s">
        <v>41</v>
      </c>
      <c r="I17" s="67">
        <v>466723.02</v>
      </c>
      <c r="J17" s="68" t="s">
        <v>61</v>
      </c>
      <c r="K17" s="69" t="s">
        <v>41</v>
      </c>
    </row>
    <row r="18" spans="1:11" x14ac:dyDescent="0.3">
      <c r="A18" s="37" t="s">
        <v>147</v>
      </c>
      <c r="B18" s="38" t="s">
        <v>180</v>
      </c>
      <c r="C18" s="59">
        <v>29586000</v>
      </c>
      <c r="D18" s="65">
        <v>46140</v>
      </c>
      <c r="E18" s="59">
        <v>27576859</v>
      </c>
      <c r="F18" s="60">
        <v>2009141</v>
      </c>
      <c r="G18" s="38" t="s">
        <v>61</v>
      </c>
      <c r="H18" s="65" t="s">
        <v>41</v>
      </c>
      <c r="I18" s="67">
        <v>-39069</v>
      </c>
      <c r="J18" s="68" t="s">
        <v>39</v>
      </c>
      <c r="K18" s="69" t="s">
        <v>41</v>
      </c>
    </row>
    <row r="19" spans="1:11" x14ac:dyDescent="0.3">
      <c r="A19" s="37" t="s">
        <v>149</v>
      </c>
      <c r="B19" s="38" t="s">
        <v>181</v>
      </c>
      <c r="C19" s="59">
        <v>32163000</v>
      </c>
      <c r="D19" s="65">
        <v>46142</v>
      </c>
      <c r="E19" s="59">
        <v>39215632</v>
      </c>
      <c r="F19" s="60">
        <v>-7052632</v>
      </c>
      <c r="G19" s="38" t="s">
        <v>39</v>
      </c>
      <c r="H19" s="65" t="s">
        <v>41</v>
      </c>
      <c r="I19" s="67">
        <v>-7046577.1799999997</v>
      </c>
      <c r="J19" s="68" t="s">
        <v>39</v>
      </c>
      <c r="K19" s="69" t="s">
        <v>41</v>
      </c>
    </row>
    <row r="20" spans="1:11" x14ac:dyDescent="0.3">
      <c r="A20" s="37" t="s">
        <v>170</v>
      </c>
      <c r="B20" s="38" t="s">
        <v>187</v>
      </c>
      <c r="C20" s="59">
        <v>35074500</v>
      </c>
      <c r="D20" s="65">
        <v>46155</v>
      </c>
      <c r="E20" s="59">
        <v>33128000</v>
      </c>
      <c r="F20" s="60">
        <v>1946500</v>
      </c>
      <c r="G20" s="38" t="s">
        <v>61</v>
      </c>
      <c r="H20" s="65" t="s">
        <v>41</v>
      </c>
      <c r="I20" s="67">
        <v>-179734</v>
      </c>
      <c r="J20" s="68" t="s">
        <v>39</v>
      </c>
      <c r="K20" s="69" t="s">
        <v>41</v>
      </c>
    </row>
    <row r="21" spans="1:11" x14ac:dyDescent="0.3">
      <c r="A21" s="37" t="s">
        <v>166</v>
      </c>
      <c r="B21" s="38" t="s">
        <v>194</v>
      </c>
      <c r="C21" s="59">
        <v>49719845</v>
      </c>
      <c r="D21" s="65">
        <v>46156</v>
      </c>
      <c r="E21" s="59">
        <v>53053930</v>
      </c>
      <c r="F21" s="60">
        <v>-3334085</v>
      </c>
      <c r="G21" s="38" t="s">
        <v>39</v>
      </c>
      <c r="H21" s="65" t="s">
        <v>41</v>
      </c>
      <c r="I21" s="67">
        <v>-3605150.72</v>
      </c>
      <c r="J21" s="68" t="s">
        <v>39</v>
      </c>
      <c r="K21" s="69" t="s">
        <v>41</v>
      </c>
    </row>
    <row r="22" spans="1:11" x14ac:dyDescent="0.3">
      <c r="A22" s="37" t="s">
        <v>188</v>
      </c>
      <c r="B22" s="38" t="s">
        <v>193</v>
      </c>
      <c r="C22" s="59">
        <v>32602000</v>
      </c>
      <c r="D22" s="65">
        <v>46156</v>
      </c>
      <c r="E22" s="59">
        <v>30061428</v>
      </c>
      <c r="F22" s="60">
        <v>2540572</v>
      </c>
      <c r="G22" s="38" t="s">
        <v>61</v>
      </c>
      <c r="H22" s="65" t="s">
        <v>41</v>
      </c>
      <c r="I22" s="67">
        <v>-132062</v>
      </c>
      <c r="J22" s="68" t="s">
        <v>39</v>
      </c>
      <c r="K22" s="69" t="s">
        <v>41</v>
      </c>
    </row>
    <row r="23" spans="1:11" x14ac:dyDescent="0.3">
      <c r="A23" s="37" t="s">
        <v>207</v>
      </c>
      <c r="B23" s="38" t="s">
        <v>222</v>
      </c>
      <c r="C23" s="59">
        <v>32803000</v>
      </c>
      <c r="D23" s="65">
        <v>46158</v>
      </c>
      <c r="E23" s="59">
        <v>33660951</v>
      </c>
      <c r="F23" s="60">
        <v>-857951</v>
      </c>
      <c r="G23" s="38" t="s">
        <v>39</v>
      </c>
      <c r="H23" s="65" t="s">
        <v>41</v>
      </c>
      <c r="I23" s="67">
        <v>-1450007.8</v>
      </c>
      <c r="J23" s="68" t="s">
        <v>39</v>
      </c>
      <c r="K23" s="69" t="s">
        <v>41</v>
      </c>
    </row>
    <row r="24" spans="1:11" x14ac:dyDescent="0.3">
      <c r="A24" s="37" t="s">
        <v>195</v>
      </c>
      <c r="B24" s="38" t="s">
        <v>221</v>
      </c>
      <c r="C24" s="59">
        <v>34712000</v>
      </c>
      <c r="D24" s="65">
        <v>46158</v>
      </c>
      <c r="E24" s="59">
        <v>34579601</v>
      </c>
      <c r="F24" s="60">
        <v>132399</v>
      </c>
      <c r="G24" s="38" t="s">
        <v>61</v>
      </c>
      <c r="H24" s="65" t="s">
        <v>41</v>
      </c>
      <c r="I24" s="67">
        <v>-679724</v>
      </c>
      <c r="J24" s="68" t="s">
        <v>39</v>
      </c>
      <c r="K24" s="69" t="s">
        <v>41</v>
      </c>
    </row>
    <row r="25" spans="1:11" x14ac:dyDescent="0.3">
      <c r="A25" s="37" t="s">
        <v>214</v>
      </c>
      <c r="B25" s="38" t="s">
        <v>254</v>
      </c>
      <c r="C25" s="59">
        <v>35777500</v>
      </c>
      <c r="D25" s="65">
        <v>46171</v>
      </c>
      <c r="E25" s="59">
        <v>37408286</v>
      </c>
      <c r="F25" s="60">
        <v>-1630786</v>
      </c>
      <c r="G25" s="38" t="s">
        <v>39</v>
      </c>
      <c r="H25" s="65" t="s">
        <v>41</v>
      </c>
      <c r="I25" s="67">
        <v>-2263925.64</v>
      </c>
      <c r="J25" s="68" t="s">
        <v>39</v>
      </c>
      <c r="K25" s="69" t="s">
        <v>41</v>
      </c>
    </row>
    <row r="26" spans="1:11" x14ac:dyDescent="0.3">
      <c r="A26" s="37" t="s">
        <v>218</v>
      </c>
      <c r="B26" s="38" t="s">
        <v>255</v>
      </c>
      <c r="C26" s="59">
        <v>36379500</v>
      </c>
      <c r="D26" s="65">
        <v>46171</v>
      </c>
      <c r="E26" s="59">
        <v>37834258</v>
      </c>
      <c r="F26" s="60">
        <v>-1454758</v>
      </c>
      <c r="G26" s="38" t="s">
        <v>39</v>
      </c>
      <c r="H26" s="65" t="s">
        <v>41</v>
      </c>
      <c r="I26" s="67">
        <v>-2085955.53</v>
      </c>
      <c r="J26" s="68" t="s">
        <v>39</v>
      </c>
      <c r="K26" s="69" t="s">
        <v>41</v>
      </c>
    </row>
    <row r="27" spans="1:11" x14ac:dyDescent="0.3">
      <c r="A27" s="37" t="s">
        <v>232</v>
      </c>
      <c r="B27" s="38" t="s">
        <v>257</v>
      </c>
      <c r="C27" s="59">
        <v>35248000</v>
      </c>
      <c r="D27" s="65">
        <v>46171</v>
      </c>
      <c r="E27" s="59">
        <v>35070330</v>
      </c>
      <c r="F27" s="60">
        <v>177670</v>
      </c>
      <c r="G27" s="38" t="s">
        <v>61</v>
      </c>
      <c r="H27" s="65" t="s">
        <v>41</v>
      </c>
      <c r="I27" s="67">
        <v>-830490</v>
      </c>
      <c r="J27" s="68" t="s">
        <v>39</v>
      </c>
      <c r="K27" s="69" t="s">
        <v>41</v>
      </c>
    </row>
    <row r="28" spans="1:11" x14ac:dyDescent="0.3">
      <c r="A28" s="37" t="s">
        <v>235</v>
      </c>
      <c r="B28" s="38" t="s">
        <v>256</v>
      </c>
      <c r="C28" s="59">
        <v>36252000</v>
      </c>
      <c r="D28" s="65">
        <v>46171</v>
      </c>
      <c r="E28" s="59">
        <v>34772409</v>
      </c>
      <c r="F28" s="60">
        <v>1479591</v>
      </c>
      <c r="G28" s="38" t="s">
        <v>61</v>
      </c>
      <c r="H28" s="65" t="s">
        <v>41</v>
      </c>
      <c r="I28" s="67">
        <v>-779843</v>
      </c>
      <c r="J28" s="68" t="s">
        <v>39</v>
      </c>
      <c r="K28" s="69" t="s">
        <v>41</v>
      </c>
    </row>
    <row r="29" spans="1:11" x14ac:dyDescent="0.3">
      <c r="A29" s="37" t="s">
        <v>248</v>
      </c>
      <c r="B29" s="38" t="s">
        <v>260</v>
      </c>
      <c r="C29" s="59">
        <v>36302000</v>
      </c>
      <c r="D29" s="65">
        <v>46177</v>
      </c>
      <c r="E29" s="59">
        <v>35311636</v>
      </c>
      <c r="F29" s="60">
        <v>990364</v>
      </c>
      <c r="G29" s="38" t="s">
        <v>61</v>
      </c>
      <c r="H29" s="65" t="s">
        <v>41</v>
      </c>
      <c r="I29" s="67">
        <v>-283168</v>
      </c>
      <c r="J29" s="68" t="s">
        <v>39</v>
      </c>
      <c r="K29" s="69" t="s">
        <v>41</v>
      </c>
    </row>
    <row r="30" spans="1:11" x14ac:dyDescent="0.3">
      <c r="A30" s="37"/>
    </row>
    <row r="31" spans="1:11" x14ac:dyDescent="0.3">
      <c r="A31" s="37"/>
    </row>
    <row r="32" spans="1:11" x14ac:dyDescent="0.3">
      <c r="A32" s="37"/>
    </row>
    <row r="33" spans="1:1" x14ac:dyDescent="0.3">
      <c r="A33" s="37"/>
    </row>
  </sheetData>
  <mergeCells count="1">
    <mergeCell ref="M8:N8"/>
  </mergeCells>
  <conditionalFormatting sqref="F4:F1048576">
    <cfRule type="cellIs" dxfId="36" priority="17" operator="lessThan">
      <formula>0</formula>
    </cfRule>
    <cfRule type="cellIs" dxfId="35" priority="18" operator="greaterThan">
      <formula>0</formula>
    </cfRule>
  </conditionalFormatting>
  <conditionalFormatting sqref="I4:I1048576">
    <cfRule type="cellIs" dxfId="34" priority="9" operator="lessThan">
      <formula>0</formula>
    </cfRule>
    <cfRule type="cellIs" dxfId="33" priority="10" operator="greaterThan">
      <formula>0</formula>
    </cfRule>
  </conditionalFormatting>
  <conditionalFormatting sqref="N4:N5">
    <cfRule type="cellIs" dxfId="32" priority="7" operator="lessThan">
      <formula>0</formula>
    </cfRule>
    <cfRule type="cellIs" dxfId="31" priority="8" operator="greaterThan">
      <formula>0</formula>
    </cfRule>
  </conditionalFormatting>
  <conditionalFormatting sqref="N9:N10">
    <cfRule type="cellIs" dxfId="30" priority="5" operator="lessThan">
      <formula>0</formula>
    </cfRule>
    <cfRule type="cellIs" dxfId="29" priority="6" operator="greaterThan">
      <formula>0</formula>
    </cfRule>
  </conditionalFormatting>
  <conditionalFormatting sqref="N6">
    <cfRule type="cellIs" dxfId="28" priority="3" operator="lessThan">
      <formula>0</formula>
    </cfRule>
    <cfRule type="cellIs" dxfId="27" priority="4" operator="greaterThan">
      <formula>0</formula>
    </cfRule>
  </conditionalFormatting>
  <conditionalFormatting sqref="N11">
    <cfRule type="cellIs" dxfId="26" priority="1" operator="lessThan">
      <formula>0</formula>
    </cfRule>
    <cfRule type="cellIs" dxfId="25" priority="2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MODELO 2026</vt:lpstr>
      <vt:lpstr>BUN26-0026</vt:lpstr>
      <vt:lpstr>BUN26-0098</vt:lpstr>
      <vt:lpstr>CTG26-0028</vt:lpstr>
      <vt:lpstr>CTG26-0032</vt:lpstr>
      <vt:lpstr>CTG26-0033</vt:lpstr>
      <vt:lpstr>CTG26-0063</vt:lpstr>
      <vt:lpstr>CTG26-0070</vt:lpstr>
      <vt:lpstr>CTG26-0078</vt:lpstr>
      <vt:lpstr>CTG26-0079</vt:lpstr>
      <vt:lpstr>CTG26-0090</vt:lpstr>
      <vt:lpstr>CTG26-0098</vt:lpstr>
      <vt:lpstr>CTG26-0099</vt:lpstr>
      <vt:lpstr>CTG26-0105</vt:lpstr>
      <vt:lpstr>CTG26-0106</vt:lpstr>
      <vt:lpstr>CTG26-0111</vt:lpstr>
      <vt:lpstr>CTG26-0118</vt:lpstr>
      <vt:lpstr>CTG26-0124</vt:lpstr>
      <vt:lpstr>CTG26-0126</vt:lpstr>
      <vt:lpstr>CTG26-0128</vt:lpstr>
      <vt:lpstr>CTG26-0133</vt:lpstr>
      <vt:lpstr>CTG26-0141</vt:lpstr>
      <vt:lpstr>CTG26-0142</vt:lpstr>
      <vt:lpstr>CTG26-0150</vt:lpstr>
      <vt:lpstr>CTG26-0151</vt:lpstr>
      <vt:lpstr>CTG26-0169</vt:lpstr>
      <vt:lpstr>CTG26-0174</vt:lpstr>
      <vt:lpstr>ANTICIPOS</vt:lpstr>
      <vt:lpstr>RELACION FACT 2026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camila grisales gutierrez</dc:creator>
  <cp:lastModifiedBy>maria camila grisales gutierrez</cp:lastModifiedBy>
  <dcterms:created xsi:type="dcterms:W3CDTF">2025-08-21T22:35:48Z</dcterms:created>
  <dcterms:modified xsi:type="dcterms:W3CDTF">2026-06-10T19:49:34Z</dcterms:modified>
</cp:coreProperties>
</file>